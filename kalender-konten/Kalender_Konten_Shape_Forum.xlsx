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lender" sheetId="1" state="visible" r:id="rId1"/>
    <sheet xmlns:r="http://schemas.openxmlformats.org/officeDocument/2006/relationships" name="Ringkasan" sheetId="2" state="visible" r:id="rId2"/>
    <sheet xmlns:r="http://schemas.openxmlformats.org/officeDocument/2006/relationships" name="Catatan" sheetId="3" state="visible" r:id="rId3"/>
  </sheets>
  <definedNames>
    <definedName name="_xlnm._FilterDatabase" localSheetId="0" hidden="1">'Kalender'!$A$5:$AD$37</definedName>
    <definedName name="_xlnm.Print_Titles" localSheetId="0">'Kalender'!$5:$5</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0B233D"/>
      <sz val="14"/>
    </font>
    <font>
      <name val="Arial"/>
      <b val="1"/>
      <sz val="10"/>
    </font>
    <font>
      <name val="Arial"/>
      <sz val="9"/>
    </font>
    <font>
      <name val="Arial"/>
      <i val="1"/>
      <color rgb="00595959"/>
      <sz val="9"/>
    </font>
    <font>
      <name val="Arial"/>
      <b val="1"/>
      <color rgb="00FFFFFF"/>
      <sz val="10"/>
    </font>
    <font>
      <name val="Arial"/>
      <sz val="10"/>
    </font>
    <font>
      <name val="Arial"/>
      <color rgb="007F7F7F"/>
      <sz val="9"/>
    </font>
    <font>
      <name val="Arial"/>
      <color rgb="000563C1"/>
      <sz val="10"/>
      <u val="single"/>
    </font>
    <font>
      <name val="Arial"/>
      <b val="1"/>
      <color rgb="000B233D"/>
      <sz val="13"/>
    </font>
    <font>
      <name val="Arial"/>
      <b val="1"/>
      <color rgb="000B233D"/>
      <sz val="12"/>
    </font>
    <font>
      <name val="Arial"/>
      <color rgb="00000000"/>
      <sz val="10"/>
    </font>
    <font>
      <name val="Arial"/>
      <b val="1"/>
      <color rgb="000B233D"/>
      <sz val="10"/>
    </font>
  </fonts>
  <fills count="11">
    <fill>
      <patternFill/>
    </fill>
    <fill>
      <patternFill patternType="gray125"/>
    </fill>
    <fill>
      <patternFill patternType="solid">
        <fgColor rgb="00E2F0D9"/>
      </patternFill>
    </fill>
    <fill>
      <patternFill patternType="solid">
        <fgColor rgb="00FFF2CC"/>
      </patternFill>
    </fill>
    <fill>
      <patternFill patternType="solid">
        <fgColor rgb="00BDD7EE"/>
      </patternFill>
    </fill>
    <fill>
      <patternFill patternType="solid">
        <fgColor rgb="00F8CBAD"/>
      </patternFill>
    </fill>
    <fill>
      <patternFill patternType="solid">
        <fgColor rgb="007F7F7F"/>
      </patternFill>
    </fill>
    <fill>
      <patternFill patternType="solid">
        <fgColor rgb="002F5597"/>
      </patternFill>
    </fill>
    <fill>
      <patternFill patternType="solid">
        <fgColor rgb="00548235"/>
      </patternFill>
    </fill>
    <fill>
      <patternFill patternType="solid">
        <fgColor rgb="000B233D"/>
      </patternFill>
    </fill>
    <fill>
      <patternFill patternType="solid">
        <fgColor rgb="00F2F2F2"/>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medium">
        <color rgb="000B233D"/>
      </top>
      <bottom style="thin">
        <color rgb="00BFBFBF"/>
      </bottom>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3" fillId="3" borderId="0" applyAlignment="1" pivotButton="0" quotePrefix="0" xfId="0">
      <alignment vertical="center" wrapText="1"/>
    </xf>
    <xf numFmtId="0" fontId="3" fillId="4" borderId="0" applyAlignment="1" pivotButton="0" quotePrefix="0" xfId="0">
      <alignment vertical="center" wrapText="1"/>
    </xf>
    <xf numFmtId="0" fontId="3" fillId="5" borderId="0" applyAlignment="1" pivotButton="0" quotePrefix="0" xfId="0">
      <alignment vertical="center" wrapText="1"/>
    </xf>
    <xf numFmtId="0" fontId="4" fillId="0" borderId="0" pivotButton="0" quotePrefix="0" xfId="0"/>
    <xf numFmtId="0" fontId="5" fillId="7" borderId="0" applyAlignment="1" pivotButton="0" quotePrefix="0" xfId="0">
      <alignment horizontal="center" vertical="center"/>
    </xf>
    <xf numFmtId="0" fontId="5" fillId="8" borderId="0" applyAlignment="1" pivotButton="0" quotePrefix="0" xfId="0">
      <alignment horizontal="center" vertical="center"/>
    </xf>
    <xf numFmtId="0" fontId="5" fillId="6" borderId="0" applyAlignment="1" pivotButton="0" quotePrefix="0" xfId="0">
      <alignment horizontal="center" vertical="center"/>
    </xf>
    <xf numFmtId="0" fontId="5" fillId="9" borderId="1" applyAlignment="1" pivotButton="0" quotePrefix="0" xfId="0">
      <alignment horizontal="center" vertical="center" wrapText="1"/>
    </xf>
    <xf numFmtId="0" fontId="2" fillId="2" borderId="1" applyAlignment="1" pivotButton="0" quotePrefix="0" xfId="0">
      <alignment horizontal="center" vertical="top" wrapText="1"/>
    </xf>
    <xf numFmtId="0" fontId="6" fillId="2" borderId="1" applyAlignment="1" pivotButton="0" quotePrefix="0" xfId="0">
      <alignment vertical="top" wrapText="1"/>
    </xf>
    <xf numFmtId="0" fontId="2" fillId="5" borderId="1" applyAlignment="1" pivotButton="0" quotePrefix="0" xfId="0">
      <alignment horizontal="center" vertical="top" wrapText="1"/>
    </xf>
    <xf numFmtId="0" fontId="6" fillId="0" borderId="1" applyAlignment="1" pivotButton="0" quotePrefix="0" xfId="0">
      <alignment vertical="top" wrapText="1"/>
    </xf>
    <xf numFmtId="3" fontId="6" fillId="0" borderId="1" applyAlignment="1" pivotButton="0" quotePrefix="0" xfId="0">
      <alignment horizontal="center" vertical="top"/>
    </xf>
    <xf numFmtId="0" fontId="2" fillId="10" borderId="1" applyAlignment="1" pivotButton="0" quotePrefix="0" xfId="0">
      <alignment horizontal="center" vertical="top"/>
    </xf>
    <xf numFmtId="0" fontId="7" fillId="0" borderId="1" applyAlignment="1" pivotButton="0" quotePrefix="0" xfId="0">
      <alignment horizontal="center" vertical="top"/>
    </xf>
    <xf numFmtId="0" fontId="8" fillId="0" borderId="1" applyAlignment="1" pivotButton="0" quotePrefix="0" xfId="0">
      <alignment vertical="top" wrapText="1"/>
    </xf>
    <xf numFmtId="0" fontId="2" fillId="3" borderId="1" applyAlignment="1" pivotButton="0" quotePrefix="0" xfId="0">
      <alignment horizontal="center" vertical="top" wrapText="1"/>
    </xf>
    <xf numFmtId="0" fontId="6" fillId="3" borderId="1" applyAlignment="1" pivotButton="0" quotePrefix="0" xfId="0">
      <alignment vertical="top" wrapText="1"/>
    </xf>
    <xf numFmtId="0" fontId="2" fillId="4" borderId="1" applyAlignment="1" pivotButton="0" quotePrefix="0" xfId="0">
      <alignment horizontal="center" vertical="top" wrapText="1"/>
    </xf>
    <xf numFmtId="0" fontId="2" fillId="2" borderId="2" applyAlignment="1" pivotButton="0" quotePrefix="0" xfId="0">
      <alignment horizontal="center" vertical="top" wrapText="1"/>
    </xf>
    <xf numFmtId="0" fontId="6" fillId="2" borderId="2" applyAlignment="1" pivotButton="0" quotePrefix="0" xfId="0">
      <alignment vertical="top" wrapText="1"/>
    </xf>
    <xf numFmtId="0" fontId="2" fillId="5" borderId="2" applyAlignment="1" pivotButton="0" quotePrefix="0" xfId="0">
      <alignment horizontal="center" vertical="top" wrapText="1"/>
    </xf>
    <xf numFmtId="0" fontId="6" fillId="0" borderId="2" applyAlignment="1" pivotButton="0" quotePrefix="0" xfId="0">
      <alignment vertical="top" wrapText="1"/>
    </xf>
    <xf numFmtId="3" fontId="6" fillId="0" borderId="2" applyAlignment="1" pivotButton="0" quotePrefix="0" xfId="0">
      <alignment horizontal="center" vertical="top"/>
    </xf>
    <xf numFmtId="0" fontId="2" fillId="10" borderId="2" applyAlignment="1" pivotButton="0" quotePrefix="0" xfId="0">
      <alignment horizontal="center" vertical="top"/>
    </xf>
    <xf numFmtId="0" fontId="7" fillId="0" borderId="2" applyAlignment="1" pivotButton="0" quotePrefix="0" xfId="0">
      <alignment horizontal="center" vertical="top"/>
    </xf>
    <xf numFmtId="0" fontId="8" fillId="0" borderId="2" applyAlignment="1" pivotButton="0" quotePrefix="0" xfId="0">
      <alignment vertical="top" wrapText="1"/>
    </xf>
    <xf numFmtId="0" fontId="2" fillId="3" borderId="2" applyAlignment="1" pivotButton="0" quotePrefix="0" xfId="0">
      <alignment horizontal="center" vertical="top" wrapText="1"/>
    </xf>
    <xf numFmtId="0" fontId="6" fillId="3" borderId="2" applyAlignment="1" pivotButton="0" quotePrefix="0" xfId="0">
      <alignment vertical="top" wrapText="1"/>
    </xf>
    <xf numFmtId="0" fontId="2" fillId="4" borderId="2" applyAlignment="1" pivotButton="0" quotePrefix="0" xfId="0">
      <alignment horizontal="center" vertical="top" wrapText="1"/>
    </xf>
    <xf numFmtId="0" fontId="9" fillId="0" borderId="0" pivotButton="0" quotePrefix="0" xfId="0"/>
    <xf numFmtId="0" fontId="5" fillId="9" borderId="0" pivotButton="0" quotePrefix="0" xfId="0"/>
    <xf numFmtId="0" fontId="6" fillId="0" borderId="0" pivotButton="0" quotePrefix="0" xfId="0"/>
    <xf numFmtId="0" fontId="10" fillId="0"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aljihadjundy-oss/jundy-aljihad/blob/claude/hopeful-thompson-czlqva/carousel-output/C01-sehat-vs-gak-sakit/C01.pptx" TargetMode="External" Id="rId1"/><Relationship Type="http://schemas.openxmlformats.org/officeDocument/2006/relationships/hyperlink" Target="https://github.com/aljihadjundy-oss/jundy-aljihad/tree/claude/hopeful-thompson-czlqva/carousel-output/C01-sehat-vs-gak-sakit" TargetMode="External" Id="rId2"/><Relationship Type="http://schemas.openxmlformats.org/officeDocument/2006/relationships/hyperlink" Target="https://drive.google.com/drive/folders/1gG55EH-uiyw9vuu0m4NWncnNyEwf8xff" TargetMode="External" Id="rId3"/><Relationship Type="http://schemas.openxmlformats.org/officeDocument/2006/relationships/hyperlink" Target="https://github.com/aljihadjundy-oss/jundy-aljihad/blob/claude/hopeful-thompson-czlqva/carousel-output/C04-recap-kickoff/C04.pptx" TargetMode="External" Id="rId4"/><Relationship Type="http://schemas.openxmlformats.org/officeDocument/2006/relationships/hyperlink" Target="https://github.com/aljihadjundy-oss/jundy-aljihad/tree/claude/hopeful-thompson-czlqva/carousel-output/C04-recap-kickoff" TargetMode="External" Id="rId5"/><Relationship Type="http://schemas.openxmlformats.org/officeDocument/2006/relationships/hyperlink" Target="https://github.com/aljihadjundy-oss/jundy-aljihad/blob/claude/hopeful-thompson-czlqva/carousel-output/C05-5-tanda-reset/C05.pptx" TargetMode="External" Id="rId6"/><Relationship Type="http://schemas.openxmlformats.org/officeDocument/2006/relationships/hyperlink" Target="https://github.com/aljihadjundy-oss/jundy-aljihad/tree/claude/hopeful-thompson-czlqva/carousel-output/C05-5-tanda-reset" TargetMode="External" Id="rId7"/><Relationship Type="http://schemas.openxmlformats.org/officeDocument/2006/relationships/hyperlink" Target="https://github.com/aljihadjundy-oss/jundy-aljihad/blob/claude/hopeful-thompson-czlqva/carousel-output/C06-sesi2-preventive-health/C06.pptx" TargetMode="External" Id="rId8"/><Relationship Type="http://schemas.openxmlformats.org/officeDocument/2006/relationships/hyperlink" Target="https://github.com/aljihadjundy-oss/jundy-aljihad/tree/claude/hopeful-thompson-czlqva/carousel-output/C06-sesi2-preventive-health" TargetMode="External" Id="rId9"/><Relationship Type="http://schemas.openxmlformats.org/officeDocument/2006/relationships/hyperlink" Target="https://github.com/aljihadjundy-oss/jundy-aljihad/blob/claude/hopeful-thompson-czlqva/carousel-output/C07-15-menit-vs-gym/C07.pptx" TargetMode="External" Id="rId10"/><Relationship Type="http://schemas.openxmlformats.org/officeDocument/2006/relationships/hyperlink" Target="https://github.com/aljihadjundy-oss/jundy-aljihad/tree/claude/hopeful-thompson-czlqva/carousel-output/C07-15-menit-vs-gym" TargetMode="External" Id="rId11"/><Relationship Type="http://schemas.openxmlformats.org/officeDocument/2006/relationships/hyperlink" Target="https://github.com/aljihadjundy-oss/jundy-aljihad/blob/claude/hopeful-thompson-czlqva/carousel-output/C08-spotlight-founding-circle/C08.pptx" TargetMode="External" Id="rId12"/><Relationship Type="http://schemas.openxmlformats.org/officeDocument/2006/relationships/hyperlink" Target="https://github.com/aljihadjundy-oss/jundy-aljihad/tree/claude/hopeful-thompson-czlqva/carousel-output/C08-spotlight-founding-circle" TargetMode="External" Id="rId13"/><Relationship Type="http://schemas.openxmlformats.org/officeDocument/2006/relationships/hyperlink" Target="https://github.com/aljihadjundy-oss/jundy-aljihad/blob/claude/hopeful-thompson-czlqva/carousel-output/C09-3-kebiasaan-umur-panjang/C09.pptx" TargetMode="External" Id="rId14"/><Relationship Type="http://schemas.openxmlformats.org/officeDocument/2006/relationships/hyperlink" Target="https://github.com/aljihadjundy-oss/jundy-aljihad/tree/claude/hopeful-thompson-czlqva/carousel-output/C09-3-kebiasaan-umur-panjang" TargetMode="External" Id="rId15"/><Relationship Type="http://schemas.openxmlformats.org/officeDocument/2006/relationships/hyperlink" Target="https://github.com/aljihadjundy-oss/jundy-aljihad/blob/claude/hopeful-thompson-czlqva/carousel-output/C10-sesi4-recovery-biohacking/C10.pptx" TargetMode="External" Id="rId16"/><Relationship Type="http://schemas.openxmlformats.org/officeDocument/2006/relationships/hyperlink" Target="https://github.com/aljihadjundy-oss/jundy-aljihad/tree/claude/hopeful-thompson-czlqva/carousel-output/C10-sesi4-recovery-biohacking" TargetMode="External" Id="rId17"/><Relationship Type="http://schemas.openxmlformats.org/officeDocument/2006/relationships/hyperlink" Target="https://github.com/aljihadjundy-oss/jundy-aljihad/blob/claude/hopeful-thompson-czlqva/carousel-output/C11-3-kandungan-skincare/C11.pptx" TargetMode="External" Id="rId18"/><Relationship Type="http://schemas.openxmlformats.org/officeDocument/2006/relationships/hyperlink" Target="https://github.com/aljihadjundy-oss/jundy-aljihad/tree/claude/hopeful-thompson-czlqva/carousel-output/C11-3-kandungan-skincare" TargetMode="External" Id="rId19"/><Relationship Type="http://schemas.openxmlformats.org/officeDocument/2006/relationships/hyperlink" Target="https://github.com/aljihadjundy-oss/jundy-aljihad/blob/claude/hopeful-thompson-czlqva/carousel-output/C12-recap-sesi-3-4/C12.pptx" TargetMode="External" Id="rId20"/><Relationship Type="http://schemas.openxmlformats.org/officeDocument/2006/relationships/hyperlink" Target="https://github.com/aljihadjundy-oss/jundy-aljihad/tree/claude/hopeful-thompson-czlqva/carousel-output/C12-recap-sesi-3-4" TargetMode="External" Id="rId21"/><Relationship Type="http://schemas.openxmlformats.org/officeDocument/2006/relationships/hyperlink" Target="https://github.com/aljihadjundy-oss/jundy-aljihad/blob/claude/hopeful-thompson-czlqva/carousel-output/C13-sesi5-ingredient-kecantikan/C13.pptx" TargetMode="External" Id="rId22"/><Relationship Type="http://schemas.openxmlformats.org/officeDocument/2006/relationships/hyperlink" Target="https://github.com/aljihadjundy-oss/jundy-aljihad/tree/claude/hopeful-thompson-czlqva/carousel-output/C13-sesi5-ingredient-kecantikan" TargetMode="External" Id="rId23"/><Relationship Type="http://schemas.openxmlformats.org/officeDocument/2006/relationships/hyperlink" Target="https://github.com/aljihadjundy-oss/jundy-aljihad/blob/claude/hopeful-thompson-czlqva/carousel-output/C14-natural-label/C14.pptx" TargetMode="External" Id="rId24"/><Relationship Type="http://schemas.openxmlformats.org/officeDocument/2006/relationships/hyperlink" Target="https://github.com/aljihadjundy-oss/jundy-aljihad/tree/claude/hopeful-thompson-czlqva/carousel-output/C14-natural-label" TargetMode="External" Id="rId25"/><Relationship Type="http://schemas.openxmlformats.org/officeDocument/2006/relationships/hyperlink" Target="https://github.com/aljihadjundy-oss/jundy-aljihad/blob/claude/hopeful-thompson-czlqva/carousel-output/C15-kebiasaan-akhir-tahun/C15.pptx" TargetMode="External" Id="rId26"/><Relationship Type="http://schemas.openxmlformats.org/officeDocument/2006/relationships/hyperlink" Target="https://github.com/aljihadjundy-oss/jundy-aljihad/tree/claude/hopeful-thompson-czlqva/carousel-output/C15-kebiasaan-akhir-tahun" TargetMode="External" Id="rId27"/><Relationship Type="http://schemas.openxmlformats.org/officeDocument/2006/relationships/hyperlink" Target="https://github.com/aljihadjundy-oss/jundy-aljihad/blob/claude/hopeful-thompson-czlqva/carousel-output/C16-closing-sampai-jumpa-2027/C16.pptx" TargetMode="External" Id="rId28"/><Relationship Type="http://schemas.openxmlformats.org/officeDocument/2006/relationships/hyperlink" Target="https://github.com/aljihadjundy-oss/jundy-aljihad/tree/claude/hopeful-thompson-czlqva/carousel-output/C16-closing-sampai-jumpa-2027" TargetMode="External" Id="rId29"/><Relationship Type="http://schemas.openxmlformats.org/officeDocument/2006/relationships/hyperlink" Target="https://github.com/aljihadjundy-oss/jundy-aljihad/blob/claude/hopeful-thompson-czlqva/carousel-output/C17-spotlight-founding-circle-recap/C17.pptx" TargetMode="External" Id="rId30"/><Relationship Type="http://schemas.openxmlformats.org/officeDocument/2006/relationships/hyperlink" Target="https://github.com/aljihadjundy-oss/jundy-aljihad/tree/claude/hopeful-thompson-czlqva/carousel-output/C17-spotlight-founding-circle-recap" TargetMode="External" Id="rId31"/></Relationships>
</file>

<file path=xl/worksheets/sheet1.xml><?xml version="1.0" encoding="utf-8"?>
<worksheet xmlns="http://schemas.openxmlformats.org/spreadsheetml/2006/main">
  <sheetPr>
    <tabColor rgb="000B233D"/>
    <outlinePr summaryBelow="1" summaryRight="1"/>
    <pageSetUpPr fitToPage="1"/>
  </sheetPr>
  <dimension ref="A1:AD37"/>
  <sheetViews>
    <sheetView zoomScale="90" workbookViewId="0">
      <pane xSplit="1" ySplit="5" topLeftCell="B6"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0" customWidth="1" min="3" max="3"/>
    <col width="11" customWidth="1" min="4" max="4"/>
    <col width="9" customWidth="1" min="5" max="5"/>
    <col width="21" customWidth="1" min="6" max="6"/>
    <col width="22" customWidth="1" min="7" max="7"/>
    <col width="15" customWidth="1" min="8" max="8"/>
    <col width="15" customWidth="1" min="9" max="9"/>
    <col width="40" customWidth="1" min="10" max="10"/>
    <col width="24" customWidth="1" min="11" max="11"/>
    <col width="16" customWidth="1" min="12" max="12"/>
    <col width="40" customWidth="1" min="13" max="13"/>
    <col width="70" customWidth="1" min="14" max="14"/>
    <col width="34" customWidth="1" min="15" max="15"/>
    <col width="34" customWidth="1" min="16" max="16"/>
    <col width="22" customWidth="1" min="17" max="17"/>
    <col width="18" customWidth="1" min="18" max="18"/>
    <col width="18" customWidth="1" min="19" max="19"/>
    <col width="20" customWidth="1" min="20" max="20"/>
    <col width="50" customWidth="1" min="21" max="21"/>
    <col width="55" customWidth="1" min="22" max="22"/>
    <col width="20" customWidth="1" min="23" max="23"/>
    <col width="8" customWidth="1" min="24" max="24"/>
    <col width="10" customWidth="1" min="25" max="25"/>
    <col width="8" customWidth="1" min="26" max="26"/>
    <col width="8" customWidth="1" min="27" max="27"/>
    <col width="9" customWidth="1" min="28" max="28"/>
    <col width="12" customWidth="1" min="29" max="29"/>
    <col width="9" customWidth="1" min="30" max="30"/>
  </cols>
  <sheetData>
    <row r="1">
      <c r="A1" s="1" t="inlineStr">
        <is>
          <t>KALENDER KONTEN — SHAPE INDONESIA EXECUTIVE FORUM di IG @eventime.indonesia (Sep–Des 2026)</t>
        </is>
      </c>
    </row>
    <row r="2" ht="28" customHeight="1">
      <c r="A2" s="2" t="inlineStr">
        <is>
          <t>Legenda:</t>
        </is>
      </c>
      <c r="B2" s="3" t="inlineStr">
        <is>
          <t>Regular (evergreen, tanpa CTA keras)</t>
        </is>
      </c>
      <c r="D2" s="4" t="inlineStr">
        <is>
          <t>Campaign (terikat sesi webinar)</t>
        </is>
      </c>
      <c r="G2" s="5" t="inlineStr">
        <is>
          <t>Segmen B2B</t>
        </is>
      </c>
      <c r="H2" s="6" t="inlineStr">
        <is>
          <t>Segmen B2C</t>
        </is>
      </c>
    </row>
    <row r="3">
      <c r="A3" s="7" t="inlineStr">
        <is>
          <t>C = Carousel (C01-C17), R = Reels/Story (R01-R15). File PPTX dan folder ada di repo GitHub; tautan memakai branch kerja. Setelah branch di-merge, ganti ke 'main' (lihat sheet Catatan).</t>
        </is>
      </c>
    </row>
    <row r="4">
      <c r="Q4" s="8" t="inlineStr">
        <is>
          <t>Produksi &amp; file</t>
        </is>
      </c>
      <c r="U4" s="9" t="inlineStr">
        <is>
          <t>Review &amp; upload</t>
        </is>
      </c>
      <c r="X4" s="10" t="inlineStr">
        <is>
          <t>Vanity Metrics (isi manual dari Insights)</t>
        </is>
      </c>
    </row>
    <row r="5" ht="34" customHeight="1">
      <c r="A5" s="11" t="inlineStr">
        <is>
          <t>Id Content</t>
        </is>
      </c>
      <c r="B5" s="11" t="inlineStr">
        <is>
          <t>Bulan</t>
        </is>
      </c>
      <c r="C5" s="11" t="inlineStr">
        <is>
          <t>Minggu</t>
        </is>
      </c>
      <c r="D5" s="11" t="inlineStr">
        <is>
          <t>Tipe</t>
        </is>
      </c>
      <c r="E5" s="11" t="inlineStr">
        <is>
          <t>Segmen</t>
        </is>
      </c>
      <c r="F5" s="11" t="inlineStr">
        <is>
          <t>Sesi Webinar Terkait</t>
        </is>
      </c>
      <c r="G5" s="11" t="inlineStr">
        <is>
          <t>Pilar/Topik</t>
        </is>
      </c>
      <c r="H5" s="11" t="inlineStr">
        <is>
          <t>Platform Utama</t>
        </is>
      </c>
      <c r="I5" s="11" t="inlineStr">
        <is>
          <t>Format</t>
        </is>
      </c>
      <c r="J5" s="11" t="inlineStr">
        <is>
          <t>Brief Konten</t>
        </is>
      </c>
      <c r="K5" s="11" t="inlineStr">
        <is>
          <t>CTA / Interaksi</t>
        </is>
      </c>
      <c r="L5" s="11" t="inlineStr">
        <is>
          <t>Funnel Stage</t>
        </is>
      </c>
      <c r="M5" s="11" t="inlineStr">
        <is>
          <t>Draft Caption / Hook</t>
        </is>
      </c>
      <c r="N5" s="11" t="inlineStr">
        <is>
          <t>Brief Footage Shoot / Visual Design</t>
        </is>
      </c>
      <c r="O5" s="11" t="inlineStr">
        <is>
          <t>Jam Posting Rekomendasi (WIB)</t>
        </is>
      </c>
      <c r="P5" s="11" t="inlineStr">
        <is>
          <t>Hari Posting Disarankan</t>
        </is>
      </c>
      <c r="Q5" s="11" t="inlineStr">
        <is>
          <t>Status Produksi</t>
        </is>
      </c>
      <c r="R5" s="11" t="inlineStr">
        <is>
          <t>File PPTX (repo)</t>
        </is>
      </c>
      <c r="S5" s="11" t="inlineStr">
        <is>
          <t>Folder Carousel (repo)</t>
        </is>
      </c>
      <c r="T5" s="11" t="inlineStr">
        <is>
          <t>Link Konten (Drive)</t>
        </is>
      </c>
      <c r="U5" s="11" t="inlineStr">
        <is>
          <t>Note / Revisi</t>
        </is>
      </c>
      <c r="V5" s="11" t="inlineStr">
        <is>
          <t>Caption (siap copas)</t>
        </is>
      </c>
      <c r="W5" s="11" t="inlineStr">
        <is>
          <t>Link Konten Upload</t>
        </is>
      </c>
      <c r="X5" s="11" t="inlineStr">
        <is>
          <t>Like</t>
        </is>
      </c>
      <c r="Y5" s="11" t="inlineStr">
        <is>
          <t>Comment</t>
        </is>
      </c>
      <c r="Z5" s="11" t="inlineStr">
        <is>
          <t>Share</t>
        </is>
      </c>
      <c r="AA5" s="11" t="inlineStr">
        <is>
          <t>Save</t>
        </is>
      </c>
      <c r="AB5" s="11" t="inlineStr">
        <is>
          <t>Repost</t>
        </is>
      </c>
      <c r="AC5" s="11" t="inlineStr">
        <is>
          <t>Total Engagement</t>
        </is>
      </c>
      <c r="AD5" s="11" t="inlineStr">
        <is>
          <t>Id Lama</t>
        </is>
      </c>
    </row>
    <row r="6" ht="65" customHeight="1">
      <c r="A6" s="12" t="inlineStr">
        <is>
          <t>R01</t>
        </is>
      </c>
      <c r="B6" s="13" t="inlineStr">
        <is>
          <t>September</t>
        </is>
      </c>
      <c r="C6" s="13" t="inlineStr">
        <is>
          <t>Minggu 1</t>
        </is>
      </c>
      <c r="D6" s="13" t="inlineStr">
        <is>
          <t>Regular</t>
        </is>
      </c>
      <c r="E6" s="14" t="inlineStr">
        <is>
          <t>B2C</t>
        </is>
      </c>
      <c r="F6" s="13" t="inlineStr">
        <is>
          <t>-</t>
        </is>
      </c>
      <c r="G6" s="13" t="inlineStr">
        <is>
          <t>Mind Power</t>
        </is>
      </c>
      <c r="H6" s="13" t="inlineStr">
        <is>
          <t>Instagram</t>
        </is>
      </c>
      <c r="I6" s="13" t="inlineStr">
        <is>
          <t>Reels</t>
        </is>
      </c>
      <c r="J6" s="13" t="inlineStr">
        <is>
          <t>Relatable: susah fokus kerja padahal cuma scroll HP 5 menit jadi 1 jam</t>
        </is>
      </c>
      <c r="K6" s="13" t="inlineStr">
        <is>
          <t>Ajak komen relate</t>
        </is>
      </c>
      <c r="L6" s="13" t="inlineStr">
        <is>
          <t>Awareness</t>
        </is>
      </c>
      <c r="M6" s="13" t="inlineStr">
        <is>
          <t>‘Buka HP niatnya cek jam doang... 1 jam kemudian.’ Fokus itu skill, bukan bakat 😅</t>
        </is>
      </c>
      <c r="N6" s="13" t="inlineStr">
        <is>
          <t>1) Medium shot orang duduk pegang HP, ekspresi santai. 2) Insert layar HP nunjukin scroll timeline cepat (jump cut). 3) Cutaway jam dinding/jam HP loncat dari '17.00' ke '18.00'. 4) Ending: ekspresi kaget + teks overlay 'Fokus itu skill, bukan bakat 😅'. Framing eye-level, pencahayaan natural/warm, rasio 9:16. Teks overlay pakai highlight box #4B7B98 di atas video (bukan background gradient statis — ini format video, bukan carousel).</t>
        </is>
      </c>
      <c r="O6" s="13" t="inlineStr">
        <is>
          <t>15.00-17.00 (jeda sore) atau 19.00-22.00 (prime time malam) — hindari pagi krn Reels butuh 'mood santai scroll', bukan buru-buru</t>
        </is>
      </c>
      <c r="P6" s="13" t="inlineStr">
        <is>
          <t>Minggu malam (18.00-21.00) — manfaatkan momen 'Sunday Scaries', konten reflektif paling nempel di jam ini</t>
        </is>
      </c>
      <c r="Q6" s="15" t="inlineStr">
        <is>
          <t>Belum dikerjakan (di luar skill carousel)</t>
        </is>
      </c>
      <c r="R6" s="15" t="inlineStr"/>
      <c r="S6" s="15" t="inlineStr"/>
      <c r="T6" s="15" t="inlineStr"/>
      <c r="U6" s="15" t="inlineStr"/>
      <c r="V6" s="15" t="inlineStr"/>
      <c r="W6" s="15" t="inlineStr"/>
      <c r="X6" s="16" t="n"/>
      <c r="Y6" s="16" t="n"/>
      <c r="Z6" s="16" t="n"/>
      <c r="AA6" s="16" t="n"/>
      <c r="AB6" s="16" t="n"/>
      <c r="AC6" s="17">
        <f>SUM(X6:AB6)</f>
        <v/>
      </c>
      <c r="AD6" s="18" t="inlineStr">
        <is>
          <t>R01</t>
        </is>
      </c>
    </row>
    <row r="7" ht="247" customHeight="1">
      <c r="A7" s="12" t="inlineStr">
        <is>
          <t>C01</t>
        </is>
      </c>
      <c r="B7" s="13" t="inlineStr">
        <is>
          <t>September</t>
        </is>
      </c>
      <c r="C7" s="13" t="inlineStr">
        <is>
          <t>Minggu 1</t>
        </is>
      </c>
      <c r="D7" s="13" t="inlineStr">
        <is>
          <t>Regular</t>
        </is>
      </c>
      <c r="E7" s="14" t="inlineStr">
        <is>
          <t>B2C</t>
        </is>
      </c>
      <c r="F7" s="13" t="inlineStr">
        <is>
          <t>-</t>
        </is>
      </c>
      <c r="G7" s="13" t="inlineStr">
        <is>
          <t>Health</t>
        </is>
      </c>
      <c r="H7" s="13" t="inlineStr">
        <is>
          <t>Instagram</t>
        </is>
      </c>
      <c r="I7" s="13" t="inlineStr">
        <is>
          <t>Carousel</t>
        </is>
      </c>
      <c r="J7" s="13" t="inlineStr">
        <is>
          <t>Edukasi ringan: bedanya 'sehat' dan 'sekadar gak sakit'</t>
        </is>
      </c>
      <c r="K7" s="13" t="inlineStr">
        <is>
          <t>Simpan &amp; share ke teman</t>
        </is>
      </c>
      <c r="L7" s="13" t="inlineStr">
        <is>
          <t>Awareness</t>
        </is>
      </c>
      <c r="M7" s="13" t="inlineStr">
        <is>
          <t>3 tanda kamu 'gak sakit' tapi belum tentu 'sehat' — nomor 2 sering diremehkan</t>
        </is>
      </c>
      <c r="N7" s="13" t="inlineStr">
        <is>
          <t>Template A. 3 slide: judul 'Sehat vs Sekadar Gak Sakit', body pakai highlight box per poin, slide penutup ajakan simpan.</t>
        </is>
      </c>
      <c r="O7" s="13" t="inlineStr">
        <is>
          <t>12.00-13.00 (istirahat siang) atau 19.00-21.00 (malam santai) — butuh audiens yg gak buru-buru krn perlu swipe &amp; baca</t>
        </is>
      </c>
      <c r="P7" s="13" t="inlineStr">
        <is>
          <t>Selasa siang atau Minggu malam — butuh audiens yg punya waktu fokus baca/swipe</t>
        </is>
      </c>
      <c r="Q7" s="15" t="inlineStr">
        <is>
          <t>Draft jadi</t>
        </is>
      </c>
      <c r="R7" s="19" t="inlineStr">
        <is>
          <t>C01.pptx</t>
        </is>
      </c>
      <c r="S7" s="19" t="inlineStr">
        <is>
          <t>C01-sehat-vs-gak-sakit</t>
        </is>
      </c>
      <c r="T7" s="19" t="inlineStr">
        <is>
          <t>Folder Drive C01</t>
        </is>
      </c>
      <c r="U7" s="15" t="inlineStr">
        <is>
          <t>Tanda #3 ditambahkan (plan hanya merinci 2 tanda). Merah digeser jadi 1x di 'ngerasa cukup'. Folder Drive baru berisi caption.</t>
        </is>
      </c>
      <c r="V7" s="15" t="inlineStr">
        <is>
          <t>3 tanda kamu "gak sakit" tapi belum tentu "sehat" — nomor 2 sering diremehkan.
Selama gak ada yang sakit, kita sering ngerasa semuanya baik-baik aja. Padahal ada tanda kecil yang gampang kelewat:
1. Gampang capek &amp; susah fokus
2. Jarang gerak, tapi ngerasa udah cukup gerak
3. Cek badan baru kalau ada keluhan
Kalau salah satunya kamu banget, bukan berarti ada yang salah. Itu cuma sinyal buat mulai ngurus badan lebih awal.
Simpan postingan ini biar inget lagi 📌 dan kirim ke teman yang suka bilang "gue sehat kok".
Follow @shape.indonesia buat obrolan wellness lainnya.
#ShapeIndonesia #LiveBetterLongerFitter #HidupSehat #Health</t>
        </is>
      </c>
      <c r="W7" s="15" t="inlineStr"/>
      <c r="X7" s="16" t="n"/>
      <c r="Y7" s="16" t="n"/>
      <c r="Z7" s="16" t="n"/>
      <c r="AA7" s="16" t="n"/>
      <c r="AB7" s="16" t="n"/>
      <c r="AC7" s="17">
        <f>SUM(X7:AB7)</f>
        <v/>
      </c>
      <c r="AD7" s="18" t="inlineStr">
        <is>
          <t>C01</t>
        </is>
      </c>
    </row>
    <row r="8" ht="91" customHeight="1">
      <c r="A8" s="12" t="inlineStr">
        <is>
          <t>R02</t>
        </is>
      </c>
      <c r="B8" s="13" t="inlineStr">
        <is>
          <t>September</t>
        </is>
      </c>
      <c r="C8" s="13" t="inlineStr">
        <is>
          <t>Minggu 2</t>
        </is>
      </c>
      <c r="D8" s="13" t="inlineStr">
        <is>
          <t>Regular</t>
        </is>
      </c>
      <c r="E8" s="14" t="inlineStr">
        <is>
          <t>B2C</t>
        </is>
      </c>
      <c r="F8" s="13" t="inlineStr">
        <is>
          <t>-</t>
        </is>
      </c>
      <c r="G8" s="13" t="inlineStr">
        <is>
          <t>Fitness</t>
        </is>
      </c>
      <c r="H8" s="13" t="inlineStr">
        <is>
          <t>Instagram</t>
        </is>
      </c>
      <c r="I8" s="13" t="inlineStr">
        <is>
          <t>Reels</t>
        </is>
      </c>
      <c r="J8" s="13" t="inlineStr">
        <is>
          <t>Relatable: niat lari Car Free Day, sampai lokasi malah jajan/nongkrong doang</t>
        </is>
      </c>
      <c r="K8" s="13" t="inlineStr">
        <is>
          <t>Ajak komen relate / tag teman</t>
        </is>
      </c>
      <c r="L8" s="13" t="inlineStr">
        <is>
          <t>Awareness</t>
        </is>
      </c>
      <c r="M8" s="13" t="inlineStr">
        <is>
          <t>Niat: lari pagi di Car Free Day. Realita: jajan cimol &amp; nongkrong doang 😂</t>
        </is>
      </c>
      <c r="N8" s="13" t="inlineStr">
        <is>
          <t>1) Wide shot suasana Car Free Day ramai (orang jalan/sepeda/lari), kucing/hewan ASLI di pinggir jalan dgn ekspresi semangat, pagi hari cerah. 2) Medium shot kucing/hewan noleh ke arah deretan gerobak jajanan (cimol/es kelapa/cilok). 3) Cutaway kucing/hewan 'duduk' deket jajanan, properti olahraga (botol minum/handuk kecil) tergeletak gak kepake. 4) Ending: freeze frame kucing/hewan santai sambil 'jajan' + teks overlay 'Realita: jajan &amp; nongkrong doang 😂'. WAJIB foto/video hewan ASLI candid di lokasi CFD asli (gratis, gampang diakses), bukan AI/stock.</t>
        </is>
      </c>
      <c r="O8" s="13" t="inlineStr">
        <is>
          <t>15.00-17.00 (jeda sore) atau 19.00-22.00 (prime time malam) — hindari pagi krn Reels butuh 'mood santai scroll', bukan buru-buru</t>
        </is>
      </c>
      <c r="P8" s="13" t="inlineStr">
        <is>
          <t>Rabu atau Sabtu — jeda tengah minggu &amp; santai akhir pekan, mood 'cari hiburan ringan'</t>
        </is>
      </c>
      <c r="Q8" s="15" t="inlineStr">
        <is>
          <t>Belum dikerjakan (di luar skill carousel)</t>
        </is>
      </c>
      <c r="R8" s="15" t="inlineStr"/>
      <c r="S8" s="15" t="inlineStr"/>
      <c r="T8" s="15" t="inlineStr"/>
      <c r="U8" s="15" t="inlineStr"/>
      <c r="V8" s="15" t="inlineStr"/>
      <c r="W8" s="15" t="inlineStr"/>
      <c r="X8" s="16" t="n"/>
      <c r="Y8" s="16" t="n"/>
      <c r="Z8" s="16" t="n"/>
      <c r="AA8" s="16" t="n"/>
      <c r="AB8" s="16" t="n"/>
      <c r="AC8" s="17">
        <f>SUM(X8:AB8)</f>
        <v/>
      </c>
      <c r="AD8" s="18" t="inlineStr">
        <is>
          <t>R02</t>
        </is>
      </c>
    </row>
    <row r="9" ht="39" customHeight="1">
      <c r="A9" s="12" t="inlineStr">
        <is>
          <t>C02</t>
        </is>
      </c>
      <c r="B9" s="13" t="inlineStr">
        <is>
          <t>September</t>
        </is>
      </c>
      <c r="C9" s="13" t="inlineStr">
        <is>
          <t>Minggu 2</t>
        </is>
      </c>
      <c r="D9" s="13" t="inlineStr">
        <is>
          <t>Regular</t>
        </is>
      </c>
      <c r="E9" s="14" t="inlineStr">
        <is>
          <t>B2C</t>
        </is>
      </c>
      <c r="F9" s="13" t="inlineStr">
        <is>
          <t>-</t>
        </is>
      </c>
      <c r="G9" s="13" t="inlineStr">
        <is>
          <t>Nutrition</t>
        </is>
      </c>
      <c r="H9" s="13" t="inlineStr">
        <is>
          <t>Instagram</t>
        </is>
      </c>
      <c r="I9" s="13" t="inlineStr">
        <is>
          <t>Carousel</t>
        </is>
      </c>
      <c r="J9" s="13" t="inlineStr">
        <is>
          <t>Edukasi: mitos vs fakta soal 'detox' yang lagi tren</t>
        </is>
      </c>
      <c r="K9" s="13" t="inlineStr">
        <is>
          <t>Simpan &amp; share</t>
        </is>
      </c>
      <c r="L9" s="13" t="inlineStr">
        <is>
          <t>Awareness</t>
        </is>
      </c>
      <c r="M9" s="13" t="inlineStr">
        <is>
          <t>Detox teh pelangsing vs minum air putih cukup — mana yang beneran kerja?</t>
        </is>
      </c>
      <c r="N9" s="13" t="inlineStr">
        <is>
          <t>Template A. Search-bar mockup berisi 'Detox: mitos atau fakta?' lalu poin fakta di highlight box di bawahnya.</t>
        </is>
      </c>
      <c r="O9" s="13" t="inlineStr">
        <is>
          <t>12.00-13.00 (istirahat siang) atau 19.00-21.00 (malam santai) — butuh audiens yg gak buru-buru krn perlu swipe &amp; baca</t>
        </is>
      </c>
      <c r="P9" s="13" t="inlineStr">
        <is>
          <t>Selasa siang atau Minggu malam — butuh audiens yg punya waktu fokus baca/swipe</t>
        </is>
      </c>
      <c r="Q9" s="15" t="inlineStr">
        <is>
          <t>Referensi (belum PPTX)</t>
        </is>
      </c>
      <c r="R9" s="15" t="inlineStr"/>
      <c r="S9" s="15" t="inlineStr"/>
      <c r="T9" s="15" t="inlineStr"/>
      <c r="U9" s="15" t="inlineStr">
        <is>
          <t>Referensi visual dari user (konten 4, detox) belum dibuat ulang sebagai PPTX.</t>
        </is>
      </c>
      <c r="V9" s="15" t="inlineStr"/>
      <c r="W9" s="15" t="inlineStr"/>
      <c r="X9" s="16" t="n"/>
      <c r="Y9" s="16" t="n"/>
      <c r="Z9" s="16" t="n"/>
      <c r="AA9" s="16" t="n"/>
      <c r="AB9" s="16" t="n"/>
      <c r="AC9" s="17">
        <f>SUM(X9:AB9)</f>
        <v/>
      </c>
      <c r="AD9" s="18" t="inlineStr">
        <is>
          <t>C02</t>
        </is>
      </c>
    </row>
    <row r="10" ht="39" customHeight="1">
      <c r="A10" s="20" t="inlineStr">
        <is>
          <t>C03</t>
        </is>
      </c>
      <c r="B10" s="21" t="inlineStr">
        <is>
          <t>September</t>
        </is>
      </c>
      <c r="C10" s="21" t="inlineStr">
        <is>
          <t>Minggu 3</t>
        </is>
      </c>
      <c r="D10" s="21" t="inlineStr">
        <is>
          <t>Campaign</t>
        </is>
      </c>
      <c r="E10" s="22" t="inlineStr">
        <is>
          <t>B2B</t>
        </is>
      </c>
      <c r="F10" s="21" t="inlineStr">
        <is>
          <t>Sesi 1 - Kickoff (27 Sept)</t>
        </is>
      </c>
      <c r="G10" s="21" t="inlineStr">
        <is>
          <t>Shape Expert Network Launch</t>
        </is>
      </c>
      <c r="H10" s="21" t="inlineStr">
        <is>
          <t>Instagram + LinkedIn</t>
        </is>
      </c>
      <c r="I10" s="21" t="inlineStr">
        <is>
          <t>Carousel/Story</t>
        </is>
      </c>
      <c r="J10" s="21" t="inlineStr">
        <is>
          <t>Teaser H-7: pengumuman peluncuran Shape Expert Network — 3 pakar (Mind, Fitness, Nutrition) akan ngobrol bareng</t>
        </is>
      </c>
      <c r="K10" s="21" t="inlineStr">
        <is>
          <t>Follow @shape.indonesia / cek link di bio</t>
        </is>
      </c>
      <c r="L10" s="21" t="inlineStr">
        <is>
          <t>Interest</t>
        </is>
      </c>
      <c r="M10" s="21" t="inlineStr">
        <is>
          <t>Tanggal 27 September, 3 pakar duduk bareng ngobrolin 'Triangle of Life' — gerak, mikir, pulih. Siapa yang penasaran?</t>
        </is>
      </c>
      <c r="N10" s="21" t="inlineStr">
        <is>
          <t>Template A + foto profesional 3 speaker (bukan ilustrasi) ditempel di atas background grid biru. Judul 'Triangle of Life' pakai highlight box besar, tanggal 27 Sept jadi accent box merah.</t>
        </is>
      </c>
      <c r="O10" s="21" t="inlineStr">
        <is>
          <t>Carousel: 12.00-13.00. Story pendukung: 07.00-08.00 &amp; 19.00-21.00</t>
        </is>
      </c>
      <c r="P10" s="21" t="inlineStr">
        <is>
          <t>Selasa-Kamis — hindari Senin (masih beres2 kerjaan) &amp; Jumat/weekend (mode kerja sudah 'off')</t>
        </is>
      </c>
      <c r="Q10" s="15" t="inlineStr">
        <is>
          <t>Referensi (belum PPTX)</t>
        </is>
      </c>
      <c r="R10" s="15" t="inlineStr"/>
      <c r="S10" s="15" t="inlineStr"/>
      <c r="T10" s="15" t="inlineStr"/>
      <c r="U10" s="15" t="inlineStr">
        <is>
          <t>Referensi visual dari user (konten 1, Expert Network Launch, gaya playful) belum dibuat ulang sebagai PPTX. Butuh foto 3 pembicara.</t>
        </is>
      </c>
      <c r="V10" s="15" t="inlineStr"/>
      <c r="W10" s="15" t="inlineStr"/>
      <c r="X10" s="16" t="n"/>
      <c r="Y10" s="16" t="n"/>
      <c r="Z10" s="16" t="n"/>
      <c r="AA10" s="16" t="n"/>
      <c r="AB10" s="16" t="n"/>
      <c r="AC10" s="17">
        <f>SUM(X10:AB10)</f>
        <v/>
      </c>
      <c r="AD10" s="18" t="inlineStr">
        <is>
          <t>C03</t>
        </is>
      </c>
    </row>
    <row r="11" ht="52" customHeight="1">
      <c r="A11" s="12" t="inlineStr">
        <is>
          <t>R03</t>
        </is>
      </c>
      <c r="B11" s="13" t="inlineStr">
        <is>
          <t>September</t>
        </is>
      </c>
      <c r="C11" s="13" t="inlineStr">
        <is>
          <t>Minggu 3</t>
        </is>
      </c>
      <c r="D11" s="13" t="inlineStr">
        <is>
          <t>Regular</t>
        </is>
      </c>
      <c r="E11" s="14" t="inlineStr">
        <is>
          <t>B2C</t>
        </is>
      </c>
      <c r="F11" s="13" t="inlineStr">
        <is>
          <t>-</t>
        </is>
      </c>
      <c r="G11" s="13" t="inlineStr">
        <is>
          <t>Longevity &amp; Biohacking</t>
        </is>
      </c>
      <c r="H11" s="13" t="inlineStr">
        <is>
          <t>Instagram</t>
        </is>
      </c>
      <c r="I11" s="13" t="inlineStr">
        <is>
          <t>Reels</t>
        </is>
      </c>
      <c r="J11" s="13" t="inlineStr">
        <is>
          <t>Edukasi ringan: kebiasaan sederhana yang sering disebut 'biohacking' padahal cuma pola dasar (tidur cukup, jalan kaki)</t>
        </is>
      </c>
      <c r="K11" s="13" t="inlineStr">
        <is>
          <t>Ajak komen pengalaman</t>
        </is>
      </c>
      <c r="L11" s="13" t="inlineStr">
        <is>
          <t>Awareness</t>
        </is>
      </c>
      <c r="M11" s="13" t="inlineStr">
        <is>
          <t>‘Biohacking’ kadang cuma nama keren buat tidur 7 jam &amp; jalan kaki 30 menit. Setuju?</t>
        </is>
      </c>
      <c r="N11" s="13" t="inlineStr">
        <is>
          <t>1) Medium shot orang tidur nyenyak jam malam (representasi 'tidur cukup'). 2) Cutaway orang jalan kaki santai pagi hari, natural light. 3) Text overlay animasi 'biohacking = kebiasaan dasar' pakai highlight box #4B7B98. 4) Ending: freeze + logo kecil Shape di pojok. Nuansa tenang, warm tone, tempo edit lambat (bukan cepat/hype).</t>
        </is>
      </c>
      <c r="O11" s="13" t="inlineStr">
        <is>
          <t>15.00-17.00 (jeda sore) atau 19.00-22.00 (prime time malam) — hindari pagi krn Reels butuh 'mood santai scroll', bukan buru-buru</t>
        </is>
      </c>
      <c r="P11" s="13" t="inlineStr">
        <is>
          <t>Rabu atau Sabtu — jeda tengah minggu &amp; santai akhir pekan, mood 'cari hiburan ringan'</t>
        </is>
      </c>
      <c r="Q11" s="15" t="inlineStr">
        <is>
          <t>Belum dikerjakan (di luar skill carousel)</t>
        </is>
      </c>
      <c r="R11" s="15" t="inlineStr"/>
      <c r="S11" s="15" t="inlineStr"/>
      <c r="T11" s="15" t="inlineStr"/>
      <c r="U11" s="15" t="inlineStr"/>
      <c r="V11" s="15" t="inlineStr"/>
      <c r="W11" s="15" t="inlineStr"/>
      <c r="X11" s="16" t="n"/>
      <c r="Y11" s="16" t="n"/>
      <c r="Z11" s="16" t="n"/>
      <c r="AA11" s="16" t="n"/>
      <c r="AB11" s="16" t="n"/>
      <c r="AC11" s="17">
        <f>SUM(X11:AB11)</f>
        <v/>
      </c>
      <c r="AD11" s="18" t="inlineStr"/>
    </row>
    <row r="12" ht="65" customHeight="1">
      <c r="A12" s="20" t="inlineStr">
        <is>
          <t>R04</t>
        </is>
      </c>
      <c r="B12" s="21" t="inlineStr">
        <is>
          <t>September</t>
        </is>
      </c>
      <c r="C12" s="21" t="inlineStr">
        <is>
          <t>Minggu 4</t>
        </is>
      </c>
      <c r="D12" s="21" t="inlineStr">
        <is>
          <t>Campaign</t>
        </is>
      </c>
      <c r="E12" s="22" t="inlineStr">
        <is>
          <t>B2B</t>
        </is>
      </c>
      <c r="F12" s="21" t="inlineStr">
        <is>
          <t>Sesi 1 - Kickoff (27 Sept)</t>
        </is>
      </c>
      <c r="G12" s="21" t="inlineStr">
        <is>
          <t>Triangle of Life: Mind + Fitness + Nutrition</t>
        </is>
      </c>
      <c r="H12" s="21" t="inlineStr">
        <is>
          <t>Instagram + LinkedIn</t>
        </is>
      </c>
      <c r="I12" s="21" t="inlineStr">
        <is>
          <t>Reels/Story highlight</t>
        </is>
      </c>
      <c r="J12" s="21" t="inlineStr">
        <is>
          <t>Speaker highlight H-2: perkenalkan 3 speaker satu-satu via Story, foto profesional, no data klaim</t>
        </is>
      </c>
      <c r="K12" s="21" t="inlineStr">
        <is>
          <t>Save tanggal / daftar via link bio (LinkedIn Live)</t>
        </is>
      </c>
      <c r="L12" s="21" t="inlineStr">
        <is>
          <t>Consideration</t>
        </is>
      </c>
      <c r="M12" s="21" t="inlineStr">
        <is>
          <t>Kenalan sama 3 nama di balik sesi pembuka Shape Expert Network — siapa favoritmu?</t>
        </is>
      </c>
      <c r="N12" s="21" t="inlineStr">
        <is>
          <t>Story series 3 FRAME berurutan (bukan carousel slide, tapi 3x posting Story terpisah 1 speaker/frame): foto headshot profesional tiap pakar dgn nama + peran (Mind &amp; Resilience / Fitness &amp; Performance / Nutrition Specialist) di bawahnya dlm highlight box, background solid gradient Shape, link sticker 'Daftar via bio'. Konsisten template frame di ketiga Story agar terasa satu rangkaian saat dibuka berurutan.</t>
        </is>
      </c>
      <c r="O12" s="21" t="inlineStr">
        <is>
          <t>Reels: 15.00-17.00. Story: 12.00-13.00 &amp; 19.00-21.00</t>
        </is>
      </c>
      <c r="P12" s="21" t="inlineStr">
        <is>
          <t>Selasa-Kamis — hindari Senin (masih beres2 kerjaan) &amp; Jumat/weekend (mode kerja sudah 'off')</t>
        </is>
      </c>
      <c r="Q12" s="15" t="inlineStr">
        <is>
          <t>Belum dikerjakan (di luar skill carousel)</t>
        </is>
      </c>
      <c r="R12" s="15" t="inlineStr"/>
      <c r="S12" s="15" t="inlineStr"/>
      <c r="T12" s="15" t="inlineStr"/>
      <c r="U12" s="15" t="inlineStr"/>
      <c r="V12" s="15" t="inlineStr"/>
      <c r="W12" s="15" t="inlineStr"/>
      <c r="X12" s="16" t="n"/>
      <c r="Y12" s="16" t="n"/>
      <c r="Z12" s="16" t="n"/>
      <c r="AA12" s="16" t="n"/>
      <c r="AB12" s="16" t="n"/>
      <c r="AC12" s="17">
        <f>SUM(X12:AB12)</f>
        <v/>
      </c>
      <c r="AD12" s="18" t="inlineStr"/>
    </row>
    <row r="13" ht="156" customHeight="1">
      <c r="A13" s="20" t="inlineStr">
        <is>
          <t>C04</t>
        </is>
      </c>
      <c r="B13" s="21" t="inlineStr">
        <is>
          <t>September</t>
        </is>
      </c>
      <c r="C13" s="21" t="inlineStr">
        <is>
          <t>Minggu 4</t>
        </is>
      </c>
      <c r="D13" s="21" t="inlineStr">
        <is>
          <t>Campaign</t>
        </is>
      </c>
      <c r="E13" s="22" t="inlineStr">
        <is>
          <t>B2B</t>
        </is>
      </c>
      <c r="F13" s="21" t="inlineStr">
        <is>
          <t>Sesi 1 - Kickoff (27 Sept)</t>
        </is>
      </c>
      <c r="G13" s="21" t="inlineStr">
        <is>
          <t>Recap Kickoff</t>
        </is>
      </c>
      <c r="H13" s="21" t="inlineStr">
        <is>
          <t>Instagram</t>
        </is>
      </c>
      <c r="I13" s="21" t="inlineStr">
        <is>
          <t>Carousel recap</t>
        </is>
      </c>
      <c r="J13" s="21" t="inlineStr">
        <is>
          <t>Recap H+2: cuplikan momen sesi, kutipan singkat non-data dari speaker, ucapan terima kasih ke Founding Circle Partners</t>
        </is>
      </c>
      <c r="K13" s="21" t="inlineStr">
        <is>
          <t>Follow @shape.indonesia utk sesi berikutnya</t>
        </is>
      </c>
      <c r="L13" s="21" t="inlineStr">
        <is>
          <t>Consideration</t>
        </is>
      </c>
      <c r="M13" s="21" t="inlineStr">
        <is>
          <t>Sesi pembuka udah kelar — makasih buat yang nonton &amp; Founding Circle Partners yang udah gabung 🙌</t>
        </is>
      </c>
      <c r="N13" s="21" t="inlineStr">
        <is>
          <t>Template A. Slide 1 highlight box 'Sesi Kickoff Selesai', slide berikut kutipan singkat per speaker dalam highlight box, slide akhir logo Founding Circle Partners dijajar rapi.</t>
        </is>
      </c>
      <c r="O13" s="21" t="inlineStr">
        <is>
          <t>19.00-21.00 (malam, saat orang re-cap hari &amp; lebih reflektif)</t>
        </is>
      </c>
      <c r="P13" s="21" t="inlineStr">
        <is>
          <t>Selasa-Kamis — hindari Senin (masih beres2 kerjaan) &amp; Jumat/weekend (mode kerja sudah 'off')</t>
        </is>
      </c>
      <c r="Q13" s="15" t="inlineStr">
        <is>
          <t>Draft + menunggu aset/data</t>
        </is>
      </c>
      <c r="R13" s="19" t="inlineStr">
        <is>
          <t>C04.pptx</t>
        </is>
      </c>
      <c r="S13" s="19" t="inlineStr">
        <is>
          <t>C04-recap-kickoff</t>
        </is>
      </c>
      <c r="T13" s="15" t="inlineStr"/>
      <c r="U13" s="15" t="inlineStr">
        <is>
          <t>Butuh: kutipan asli 3 pembicara, foto momen sesi, headshot, 5 logo Founding Circle. Jadwal asli H+2 (29 Sept) sudah lewat: posting sekarang atau gabung ke recap lain?</t>
        </is>
      </c>
      <c r="V13" s="15" t="inlineStr">
        <is>
          <t>Sesi pembuka udah kelar — makasih buat yang nonton &amp; Founding Circle Partners yang udah gabung 🙌
Terima kasih sudah ikut Sesi 1 Shape Expert Network. Tiga pakar, satu obrolan tentang Triangle of Life: Mind, Fitness, dan Nutrition. Kutipan dari masing-masing pembicara ada di slide, geser ya.
Terima kasih juga untuk Founding Circle Partners yang sudah membangun ekosistem wellness Indonesia bersama Shape. Follow @shape.indonesia supaya tidak ketinggalan sesi berikutnya.
#ShapeIndonesia #ShapeExpertNetwork #LiveBetterLongerFitter #Wellness</t>
        </is>
      </c>
      <c r="W13" s="15" t="inlineStr"/>
      <c r="X13" s="16" t="n"/>
      <c r="Y13" s="16" t="n"/>
      <c r="Z13" s="16" t="n"/>
      <c r="AA13" s="16" t="n"/>
      <c r="AB13" s="16" t="n"/>
      <c r="AC13" s="17">
        <f>SUM(X13:AB13)</f>
        <v/>
      </c>
      <c r="AD13" s="18" t="inlineStr">
        <is>
          <t>C04</t>
        </is>
      </c>
    </row>
    <row r="14" ht="65" customHeight="1">
      <c r="A14" s="23" t="inlineStr">
        <is>
          <t>R05</t>
        </is>
      </c>
      <c r="B14" s="24" t="inlineStr">
        <is>
          <t>Oktober</t>
        </is>
      </c>
      <c r="C14" s="24" t="inlineStr">
        <is>
          <t>Minggu 1</t>
        </is>
      </c>
      <c r="D14" s="24" t="inlineStr">
        <is>
          <t>Regular</t>
        </is>
      </c>
      <c r="E14" s="25" t="inlineStr">
        <is>
          <t>B2C</t>
        </is>
      </c>
      <c r="F14" s="24" t="inlineStr">
        <is>
          <t>-</t>
        </is>
      </c>
      <c r="G14" s="24" t="inlineStr">
        <is>
          <t>Aesthetics</t>
        </is>
      </c>
      <c r="H14" s="24" t="inlineStr">
        <is>
          <t>Instagram</t>
        </is>
      </c>
      <c r="I14" s="24" t="inlineStr">
        <is>
          <t>Reels</t>
        </is>
      </c>
      <c r="J14" s="24" t="inlineStr">
        <is>
          <t>Relatable: skincare rutin niat 10 langkah, real-nya cuma sabun muka &amp; pelembap</t>
        </is>
      </c>
      <c r="K14" s="24" t="inlineStr">
        <is>
          <t>Ajak komen relate</t>
        </is>
      </c>
      <c r="L14" s="24" t="inlineStr">
        <is>
          <t>Awareness</t>
        </is>
      </c>
      <c r="M14" s="24" t="inlineStr">
        <is>
          <t>10-step skincare di teori. Sabun muka + pelembap di realita 😅 kamu tim mana?</t>
        </is>
      </c>
      <c r="N14" s="24" t="inlineStr">
        <is>
          <t>1) Flat lay rak skincare penuh botol (aesthetic, top-down), kucing/hewan ASLI masuk frame di sisi. 2) Cutaway kucing/hewan 'menyentuh' cuma 2 botol dari banyaknya botol di rak. 3) Ekspresi kucing/hewan santai/selesai cepat. 4) Ending teks overlay '10-step di teori, sabun muka+pelembap di realita 😅' + logo. Lighting terang &amp; bersih. WAJIB foto/video ASLI candid, bukan AI/stock.</t>
        </is>
      </c>
      <c r="O14" s="24" t="inlineStr">
        <is>
          <t>15.00-17.00 (jeda sore) atau 19.00-22.00 (prime time malam) — hindari pagi krn Reels butuh 'mood santai scroll', bukan buru-buru</t>
        </is>
      </c>
      <c r="P14" s="24" t="inlineStr">
        <is>
          <t>Rabu atau Sabtu — jeda tengah minggu &amp; santai akhir pekan, mood 'cari hiburan ringan'</t>
        </is>
      </c>
      <c r="Q14" s="26" t="inlineStr">
        <is>
          <t>Belum dikerjakan (di luar skill carousel)</t>
        </is>
      </c>
      <c r="R14" s="26" t="inlineStr"/>
      <c r="S14" s="26" t="inlineStr"/>
      <c r="T14" s="26" t="inlineStr"/>
      <c r="U14" s="26" t="inlineStr"/>
      <c r="V14" s="26" t="inlineStr"/>
      <c r="W14" s="26" t="inlineStr"/>
      <c r="X14" s="27" t="n"/>
      <c r="Y14" s="27" t="n"/>
      <c r="Z14" s="27" t="n"/>
      <c r="AA14" s="27" t="n"/>
      <c r="AB14" s="27" t="n"/>
      <c r="AC14" s="28">
        <f>SUM(X14:AB14)</f>
        <v/>
      </c>
      <c r="AD14" s="29" t="inlineStr"/>
    </row>
    <row r="15" ht="130" customHeight="1">
      <c r="A15" s="12" t="inlineStr">
        <is>
          <t>C05</t>
        </is>
      </c>
      <c r="B15" s="13" t="inlineStr">
        <is>
          <t>Oktober</t>
        </is>
      </c>
      <c r="C15" s="13" t="inlineStr">
        <is>
          <t>Minggu 1</t>
        </is>
      </c>
      <c r="D15" s="13" t="inlineStr">
        <is>
          <t>Regular</t>
        </is>
      </c>
      <c r="E15" s="14" t="inlineStr">
        <is>
          <t>B2C</t>
        </is>
      </c>
      <c r="F15" s="13" t="inlineStr">
        <is>
          <t>-</t>
        </is>
      </c>
      <c r="G15" s="13" t="inlineStr">
        <is>
          <t>Mind Power</t>
        </is>
      </c>
      <c r="H15" s="13" t="inlineStr">
        <is>
          <t>Instagram</t>
        </is>
      </c>
      <c r="I15" s="13" t="inlineStr">
        <is>
          <t>Carousel</t>
        </is>
      </c>
      <c r="J15" s="13" t="inlineStr">
        <is>
          <t>Edukasi: tanda burnout ringan yang sering diabaikan pekerja kantoran</t>
        </is>
      </c>
      <c r="K15" s="13" t="inlineStr">
        <is>
          <t>Simpan &amp; share</t>
        </is>
      </c>
      <c r="L15" s="13" t="inlineStr">
        <is>
          <t>Awareness</t>
        </is>
      </c>
      <c r="M15" s="13" t="inlineStr">
        <is>
          <t>5 tanda kamu butuh 'reset' — bukan liburan mahal, cukup istirahat yang bener</t>
        </is>
      </c>
      <c r="N15" s="13" t="inlineStr">
        <is>
          <t>Template A. Judul '5 Tanda Butuh Reset' pakai search-bar mockup, tiap tanda dalam highlight box terpisah per slide/baris.</t>
        </is>
      </c>
      <c r="O15" s="13" t="inlineStr">
        <is>
          <t>12.00-13.00 (istirahat siang) atau 19.00-21.00 (malam santai) — butuh audiens yg gak buru-buru krn perlu swipe &amp; baca</t>
        </is>
      </c>
      <c r="P15" s="13" t="inlineStr">
        <is>
          <t>Minggu malam (18.00-21.00) — manfaatkan momen 'Sunday Scaries', konten reflektif paling nempel di jam ini</t>
        </is>
      </c>
      <c r="Q15" s="15" t="inlineStr">
        <is>
          <t>Draft jadi</t>
        </is>
      </c>
      <c r="R15" s="19" t="inlineStr">
        <is>
          <t>C05.pptx</t>
        </is>
      </c>
      <c r="S15" s="19" t="inlineStr">
        <is>
          <t>C05-5-tanda-reset</t>
        </is>
      </c>
      <c r="T15" s="15" t="inlineStr"/>
      <c r="U15" s="15" t="inlineStr">
        <is>
          <t>5 tanda dipadatkan di 1 slide checklist (total 4 slide). Keputusan user.</t>
        </is>
      </c>
      <c r="V15" s="15" t="inlineStr">
        <is>
          <t>5 tanda kamu butuh "reset" — bukan liburan mahal, cukup istirahat yang bener.
Kalau salah satunya kamu banget, tenang, itu bukan berarti kamu lemah. Badan dan kepala cuma minta jeda. Simpan postingan ini dan kirim ke teman yang lagi butuh reset. 📌
Follow @shape.indonesia untuk obrolan wellness lainnya.
#MindPower #ShapeIndonesia #LiveBetterLongerFitter</t>
        </is>
      </c>
      <c r="W15" s="15" t="inlineStr"/>
      <c r="X15" s="16" t="n"/>
      <c r="Y15" s="16" t="n"/>
      <c r="Z15" s="16" t="n"/>
      <c r="AA15" s="16" t="n"/>
      <c r="AB15" s="16" t="n"/>
      <c r="AC15" s="17">
        <f>SUM(X15:AB15)</f>
        <v/>
      </c>
      <c r="AD15" s="18" t="inlineStr">
        <is>
          <t>C05</t>
        </is>
      </c>
    </row>
    <row r="16" ht="156" customHeight="1">
      <c r="A16" s="20" t="inlineStr">
        <is>
          <t>C06</t>
        </is>
      </c>
      <c r="B16" s="21" t="inlineStr">
        <is>
          <t>Oktober</t>
        </is>
      </c>
      <c r="C16" s="21" t="inlineStr">
        <is>
          <t>Minggu 2</t>
        </is>
      </c>
      <c r="D16" s="21" t="inlineStr">
        <is>
          <t>Campaign</t>
        </is>
      </c>
      <c r="E16" s="22" t="inlineStr">
        <is>
          <t>B2B</t>
        </is>
      </c>
      <c r="F16" s="21" t="inlineStr">
        <is>
          <t>Sesi 2 - Health</t>
        </is>
      </c>
      <c r="G16" s="21" t="inlineStr">
        <is>
          <t>Preventive &amp; Consumer Health</t>
        </is>
      </c>
      <c r="H16" s="21" t="inlineStr">
        <is>
          <t>Instagram + LinkedIn</t>
        </is>
      </c>
      <c r="I16" s="21" t="inlineStr">
        <is>
          <t>Carousel</t>
        </is>
      </c>
      <c r="J16" s="21" t="inlineStr">
        <is>
          <t>Teaser H-7: topik preventive health utk gym/klinik owner &amp; wellness business decision maker — framing 'cegah lebih murah dari obati' tanpa data agresif</t>
        </is>
      </c>
      <c r="K16" s="21" t="inlineStr">
        <is>
          <t>Cek LinkedIn Events / DM utk info partnership</t>
        </is>
      </c>
      <c r="L16" s="21" t="inlineStr">
        <is>
          <t>Interest</t>
        </is>
      </c>
      <c r="M16" s="21" t="inlineStr">
        <is>
          <t>Preventive health bukan cuma tren, tapi peluang bisnis wellness yang sedang naik. Sesi 2 Shape Expert Network segera hadir.</t>
        </is>
      </c>
      <c r="N16" s="21" t="inlineStr">
        <is>
          <t>Template A, versi lebih formal (kurangi elemen meme, pertahankan gradient+grid). Judul 'Preventive Health: Peluang Bisnis Wellness' dlm highlight box besar, foto/ikon profesional (bukan kucing).</t>
        </is>
      </c>
      <c r="O16" s="21" t="inlineStr">
        <is>
          <t>12.00-13.00 (istirahat siang) atau 19.00-21.00 (malam santai) — butuh audiens yg gak buru-buru krn perlu swipe &amp; baca</t>
        </is>
      </c>
      <c r="P16" s="21" t="inlineStr">
        <is>
          <t>Selasa-Kamis — hindari Senin (masih beres2 kerjaan) &amp; Jumat/weekend (mode kerja sudah 'off')</t>
        </is>
      </c>
      <c r="Q16" s="15" t="inlineStr">
        <is>
          <t>Draft + menunggu aset/data</t>
        </is>
      </c>
      <c r="R16" s="19" t="inlineStr">
        <is>
          <t>C06.pptx</t>
        </is>
      </c>
      <c r="S16" s="19" t="inlineStr">
        <is>
          <t>C06-sesi2-preventive-health</t>
        </is>
      </c>
      <c r="T16" s="15" t="inlineStr"/>
      <c r="U16" s="15" t="inlineStr">
        <is>
          <t>Butuh tanggal &amp; jam Sesi 2 (slide 3 masih 'Segera hadir') dan cek link LinkedIn Events di bio. Foto profesional generik opsional.</t>
        </is>
      </c>
      <c r="V16" s="15" t="inlineStr">
        <is>
          <t>Preventive health bukan cuma tren, tapi peluang bisnis wellness yang sedang naik. Sesi 2 Shape Expert Network segera hadir.
Konsumen mulai bergeser dari reaktif ke preventif. Buat pemilik gym, klinik, dan pelaku bisnis wellness, ini saat yang tepat untuk membaca arahnya bersama.
Sesi 2 membahas Preventive &amp; Consumer Health, khusus 200+ profesional terpilih. Cek LinkedIn Events di bio untuk informasinya.
#ShapeIndonesia #ShapeExpertNetwork #PreventiveHealth #WellnessBusiness #LiveBetterLongerFitter</t>
        </is>
      </c>
      <c r="W16" s="15" t="inlineStr"/>
      <c r="X16" s="16" t="n"/>
      <c r="Y16" s="16" t="n"/>
      <c r="Z16" s="16" t="n"/>
      <c r="AA16" s="16" t="n"/>
      <c r="AB16" s="16" t="n"/>
      <c r="AC16" s="17">
        <f>SUM(X16:AB16)</f>
        <v/>
      </c>
      <c r="AD16" s="18" t="inlineStr">
        <is>
          <t>C06</t>
        </is>
      </c>
    </row>
    <row r="17" ht="52" customHeight="1">
      <c r="A17" s="12" t="inlineStr">
        <is>
          <t>R06</t>
        </is>
      </c>
      <c r="B17" s="13" t="inlineStr">
        <is>
          <t>Oktober</t>
        </is>
      </c>
      <c r="C17" s="13" t="inlineStr">
        <is>
          <t>Minggu 2</t>
        </is>
      </c>
      <c r="D17" s="13" t="inlineStr">
        <is>
          <t>Regular</t>
        </is>
      </c>
      <c r="E17" s="14" t="inlineStr">
        <is>
          <t>B2C</t>
        </is>
      </c>
      <c r="F17" s="13" t="inlineStr">
        <is>
          <t>-</t>
        </is>
      </c>
      <c r="G17" s="13" t="inlineStr">
        <is>
          <t>Health</t>
        </is>
      </c>
      <c r="H17" s="13" t="inlineStr">
        <is>
          <t>Instagram</t>
        </is>
      </c>
      <c r="I17" s="13" t="inlineStr">
        <is>
          <t>Reels</t>
        </is>
      </c>
      <c r="J17" s="13" t="inlineStr">
        <is>
          <t>Relatable: medical check-up ditunda-tunda dgn alasan 'nanti aja kalau sempat'</t>
        </is>
      </c>
      <c r="K17" s="13" t="inlineStr">
        <is>
          <t>Ajak komen relate</t>
        </is>
      </c>
      <c r="L17" s="13" t="inlineStr">
        <is>
          <t>Awareness</t>
        </is>
      </c>
      <c r="M17" s="13" t="inlineStr">
        <is>
          <t>‘Nanti aja medical check-up-nya’ — udah berapa lama kalimat ini dipakai? 👀</t>
        </is>
      </c>
      <c r="N17" s="13" t="inlineStr">
        <is>
          <t>1) Medium shot kucing/hewan ASLI 'melihat' notifikasi reminder (props HP), lalu berbalik badan/menutup mata (gesture 'menunda'). 2) Cutaway kalender dgn tulisan 'medical check-up' dicoret berkali-kali tiap bulan. 3) Ending teks overlay '"Nanti aja" — udah berapa lama? 👀' + logo. Tone santai, komedik ringan. WAJIB foto/video ASLI candid, bukan AI/stock.</t>
        </is>
      </c>
      <c r="O17" s="13" t="inlineStr">
        <is>
          <t>15.00-17.00 (jeda sore) atau 19.00-22.00 (prime time malam) — hindari pagi krn Reels butuh 'mood santai scroll', bukan buru-buru</t>
        </is>
      </c>
      <c r="P17" s="13" t="inlineStr">
        <is>
          <t>Rabu atau Sabtu — jeda tengah minggu &amp; santai akhir pekan, mood 'cari hiburan ringan'</t>
        </is>
      </c>
      <c r="Q17" s="15" t="inlineStr">
        <is>
          <t>Belum dikerjakan (di luar skill carousel)</t>
        </is>
      </c>
      <c r="R17" s="15" t="inlineStr"/>
      <c r="S17" s="15" t="inlineStr"/>
      <c r="T17" s="15" t="inlineStr"/>
      <c r="U17" s="15" t="inlineStr"/>
      <c r="V17" s="15" t="inlineStr"/>
      <c r="W17" s="15" t="inlineStr"/>
      <c r="X17" s="16" t="n"/>
      <c r="Y17" s="16" t="n"/>
      <c r="Z17" s="16" t="n"/>
      <c r="AA17" s="16" t="n"/>
      <c r="AB17" s="16" t="n"/>
      <c r="AC17" s="17">
        <f>SUM(X17:AB17)</f>
        <v/>
      </c>
      <c r="AD17" s="18" t="inlineStr"/>
    </row>
    <row r="18" ht="52" customHeight="1">
      <c r="A18" s="20" t="inlineStr">
        <is>
          <t>R07</t>
        </is>
      </c>
      <c r="B18" s="21" t="inlineStr">
        <is>
          <t>Oktober</t>
        </is>
      </c>
      <c r="C18" s="21" t="inlineStr">
        <is>
          <t>Minggu 3</t>
        </is>
      </c>
      <c r="D18" s="21" t="inlineStr">
        <is>
          <t>Campaign</t>
        </is>
      </c>
      <c r="E18" s="14" t="inlineStr">
        <is>
          <t>B2C</t>
        </is>
      </c>
      <c r="F18" s="21" t="inlineStr">
        <is>
          <t>Sesi 3 - Health</t>
        </is>
      </c>
      <c r="G18" s="21" t="inlineStr">
        <is>
          <t>Health versi konsumen</t>
        </is>
      </c>
      <c r="H18" s="21" t="inlineStr">
        <is>
          <t>Instagram</t>
        </is>
      </c>
      <c r="I18" s="21" t="inlineStr">
        <is>
          <t>Reels/Story</t>
        </is>
      </c>
      <c r="J18" s="21" t="inlineStr">
        <is>
          <t>Live Story sesi konsumen: cuplikan singkat insight kesehatan dari webinar, dikemas ringan untuk followers umum</t>
        </is>
      </c>
      <c r="K18" s="21" t="inlineStr">
        <is>
          <t>Follow @shape.indonesia</t>
        </is>
      </c>
      <c r="L18" s="21" t="inlineStr">
        <is>
          <t>Consideration</t>
        </is>
      </c>
      <c r="M18" s="21" t="inlineStr">
        <is>
          <t>Insight kesehatan yang biasanya cuma didengar profesional, sekarang bisa kamu tonton juga 👀</t>
        </is>
      </c>
      <c r="N18" s="21" t="inlineStr">
        <is>
          <t>Video/Reels highlight: cuplikan singkat (15-20 detik) suasana webinar sesi konsumen — screen-record materi + reaksi host, subtitle bold dlm highlight box #4B7B98 di layar. Overlay stiker 'Follow @shape.indonesia' di akhir. Rasio 9:16, potong dari rekaman live jadi vertikal.</t>
        </is>
      </c>
      <c r="O18" s="21" t="inlineStr">
        <is>
          <t>Reels: 15.00-17.00 atau 19.00-22.00. Story: 07.00-08.00 &amp; 12.00-13.00</t>
        </is>
      </c>
      <c r="P18" s="21" t="inlineStr">
        <is>
          <t>Kamis-Sabtu — audiens mulai masuk mode santai, lebih terbuka coba hal baru drpd awal minggu</t>
        </is>
      </c>
      <c r="Q18" s="15" t="inlineStr">
        <is>
          <t>Belum dikerjakan (di luar skill carousel)</t>
        </is>
      </c>
      <c r="R18" s="15" t="inlineStr"/>
      <c r="S18" s="15" t="inlineStr"/>
      <c r="T18" s="15" t="inlineStr"/>
      <c r="U18" s="15" t="inlineStr"/>
      <c r="V18" s="15" t="inlineStr"/>
      <c r="W18" s="15" t="inlineStr"/>
      <c r="X18" s="16" t="n"/>
      <c r="Y18" s="16" t="n"/>
      <c r="Z18" s="16" t="n"/>
      <c r="AA18" s="16" t="n"/>
      <c r="AB18" s="16" t="n"/>
      <c r="AC18" s="17">
        <f>SUM(X18:AB18)</f>
        <v/>
      </c>
      <c r="AD18" s="18" t="inlineStr"/>
    </row>
    <row r="19" ht="143" customHeight="1">
      <c r="A19" s="12" t="inlineStr">
        <is>
          <t>C07</t>
        </is>
      </c>
      <c r="B19" s="13" t="inlineStr">
        <is>
          <t>Oktober</t>
        </is>
      </c>
      <c r="C19" s="13" t="inlineStr">
        <is>
          <t>Minggu 3</t>
        </is>
      </c>
      <c r="D19" s="13" t="inlineStr">
        <is>
          <t>Regular</t>
        </is>
      </c>
      <c r="E19" s="14" t="inlineStr">
        <is>
          <t>B2C</t>
        </is>
      </c>
      <c r="F19" s="13" t="inlineStr">
        <is>
          <t>-</t>
        </is>
      </c>
      <c r="G19" s="13" t="inlineStr">
        <is>
          <t>Fitness</t>
        </is>
      </c>
      <c r="H19" s="13" t="inlineStr">
        <is>
          <t>Instagram</t>
        </is>
      </c>
      <c r="I19" s="13" t="inlineStr">
        <is>
          <t>Carousel</t>
        </is>
      </c>
      <c r="J19" s="13" t="inlineStr">
        <is>
          <t>Edukasi: olahraga 15 menit di rumah tetap punya manfaat, gak harus 1 jam di gym</t>
        </is>
      </c>
      <c r="K19" s="13" t="inlineStr">
        <is>
          <t>Simpan &amp; share</t>
        </is>
      </c>
      <c r="L19" s="13" t="inlineStr">
        <is>
          <t>Awareness</t>
        </is>
      </c>
      <c r="M19" s="13" t="inlineStr">
        <is>
          <t>15 menit gerak di rumah &gt; niat 1 jam ke gym yang gak jadi-jadi</t>
        </is>
      </c>
      <c r="N19" s="13" t="inlineStr">
        <is>
          <t>Template A. Highlight box '15 menit di rumah' vs box lain '1 jam niat ke gym' — 2 box berdampingan sbg perbandingan visual.</t>
        </is>
      </c>
      <c r="O19" s="13" t="inlineStr">
        <is>
          <t>12.00-13.00 (istirahat siang) atau 19.00-21.00 (malam santai) — butuh audiens yg gak buru-buru krn perlu swipe &amp; baca</t>
        </is>
      </c>
      <c r="P19" s="13" t="inlineStr">
        <is>
          <t>Selasa siang atau Minggu malam — butuh audiens yg punya waktu fokus baca/swipe</t>
        </is>
      </c>
      <c r="Q19" s="15" t="inlineStr">
        <is>
          <t>Draft jadi</t>
        </is>
      </c>
      <c r="R19" s="19" t="inlineStr">
        <is>
          <t>C07.pptx</t>
        </is>
      </c>
      <c r="S19" s="19" t="inlineStr">
        <is>
          <t>C07-15-menit-vs-gym</t>
        </is>
      </c>
      <c r="T19" s="15" t="inlineStr"/>
      <c r="U19" s="15" t="inlineStr">
        <is>
          <t>Lima ide gerakan di slide 3 adalah saran umum; cek dengan pembicara Fitness. Tanpa klaim kesehatan.</t>
        </is>
      </c>
      <c r="V19" s="15" t="inlineStr">
        <is>
          <t>15 menit gerak di rumah &gt; niat 1 jam ke gym yang gak jadi-jadi.
Bukan berarti gym itu salah. Tapi olahraga yang pendek, dekat, dan gampang dimulai sering lebih jalan daripada rencana besar yang berhenti di niat. Mulai dari yang kecil dulu, di slide ada 5 ide gerakan yang bisa dicoba hari ini.
Simpan biar inget lagi 📌 dan kirim ke teman yang masih niat-niat aja ke gym. Follow @shape.indonesia untuk obrolan wellness lainnya.
#ShapeIndonesia #LiveBetterLongerFitter #Fitness #OlahragaDiRumah</t>
        </is>
      </c>
      <c r="W19" s="15" t="inlineStr"/>
      <c r="X19" s="16" t="n"/>
      <c r="Y19" s="16" t="n"/>
      <c r="Z19" s="16" t="n"/>
      <c r="AA19" s="16" t="n"/>
      <c r="AB19" s="16" t="n"/>
      <c r="AC19" s="17">
        <f>SUM(X19:AB19)</f>
        <v/>
      </c>
      <c r="AD19" s="18" t="inlineStr">
        <is>
          <t>C01</t>
        </is>
      </c>
    </row>
    <row r="20" ht="65" customHeight="1">
      <c r="A20" s="12" t="inlineStr">
        <is>
          <t>R08</t>
        </is>
      </c>
      <c r="B20" s="13" t="inlineStr">
        <is>
          <t>Oktober</t>
        </is>
      </c>
      <c r="C20" s="13" t="inlineStr">
        <is>
          <t>Minggu 4</t>
        </is>
      </c>
      <c r="D20" s="13" t="inlineStr">
        <is>
          <t>Regular</t>
        </is>
      </c>
      <c r="E20" s="14" t="inlineStr">
        <is>
          <t>B2C</t>
        </is>
      </c>
      <c r="F20" s="13" t="inlineStr">
        <is>
          <t>-</t>
        </is>
      </c>
      <c r="G20" s="13" t="inlineStr">
        <is>
          <t>Nutrition</t>
        </is>
      </c>
      <c r="H20" s="13" t="inlineStr">
        <is>
          <t>Instagram</t>
        </is>
      </c>
      <c r="I20" s="13" t="inlineStr">
        <is>
          <t>Reels</t>
        </is>
      </c>
      <c r="J20" s="13" t="inlineStr">
        <is>
          <t>Relatable: niat meal prep sehat, minggu kedua udah nyerah balik ke nasi padang</t>
        </is>
      </c>
      <c r="K20" s="13" t="inlineStr">
        <is>
          <t>Ajak komen relate</t>
        </is>
      </c>
      <c r="L20" s="13" t="inlineStr">
        <is>
          <t>Awareness</t>
        </is>
      </c>
      <c r="M20" s="13" t="inlineStr">
        <is>
          <t>Meal prep minggu 1: niat 100%. Minggu 2: nasi padang menang 😂</t>
        </is>
      </c>
      <c r="N20" s="13" t="inlineStr">
        <is>
          <t>1) Wide shot meal prep box rapi tersusun (minggu 1), kucing/hewan ASLI mengendus penasaran. 2) Cut ke box kosong/berantakan + bungkus nasi padang (minggu 2), kucing/hewan dgn ekspresi pasrah di sampingnya. 3) Teks overlay perbandingan 'Minggu 1: niat 100%. Minggu 2: nasi padang menang 😂'. Gaya split-screen/before-after transition cepat. WAJIB foto/video ASLI candid, bukan AI/stock.</t>
        </is>
      </c>
      <c r="O20" s="13" t="inlineStr">
        <is>
          <t>15.00-17.00 (jeda sore) atau 19.00-22.00 (prime time malam) — hindari pagi krn Reels butuh 'mood santai scroll', bukan buru-buru</t>
        </is>
      </c>
      <c r="P20" s="13" t="inlineStr">
        <is>
          <t>Rabu atau Sabtu — jeda tengah minggu &amp; santai akhir pekan, mood 'cari hiburan ringan'</t>
        </is>
      </c>
      <c r="Q20" s="15" t="inlineStr">
        <is>
          <t>Belum dikerjakan (di luar skill carousel)</t>
        </is>
      </c>
      <c r="R20" s="15" t="inlineStr"/>
      <c r="S20" s="15" t="inlineStr"/>
      <c r="T20" s="15" t="inlineStr"/>
      <c r="U20" s="15" t="inlineStr"/>
      <c r="V20" s="15" t="inlineStr"/>
      <c r="W20" s="15" t="inlineStr"/>
      <c r="X20" s="16" t="n"/>
      <c r="Y20" s="16" t="n"/>
      <c r="Z20" s="16" t="n"/>
      <c r="AA20" s="16" t="n"/>
      <c r="AB20" s="16" t="n"/>
      <c r="AC20" s="17">
        <f>SUM(X20:AB20)</f>
        <v/>
      </c>
      <c r="AD20" s="18" t="inlineStr"/>
    </row>
    <row r="21" ht="143" customHeight="1">
      <c r="A21" s="20" t="inlineStr">
        <is>
          <t>C08</t>
        </is>
      </c>
      <c r="B21" s="21" t="inlineStr">
        <is>
          <t>Oktober</t>
        </is>
      </c>
      <c r="C21" s="21" t="inlineStr">
        <is>
          <t>Minggu 4</t>
        </is>
      </c>
      <c r="D21" s="21" t="inlineStr">
        <is>
          <t>Campaign</t>
        </is>
      </c>
      <c r="E21" s="22" t="inlineStr">
        <is>
          <t>B2B</t>
        </is>
      </c>
      <c r="F21" s="21" t="inlineStr">
        <is>
          <t>Founding Circle Spotlight</t>
        </is>
      </c>
      <c r="G21" s="21" t="inlineStr">
        <is>
          <t>Partner Ecosystem</t>
        </is>
      </c>
      <c r="H21" s="21" t="inlineStr">
        <is>
          <t>Instagram + LinkedIn</t>
        </is>
      </c>
      <c r="I21" s="21" t="inlineStr">
        <is>
          <t>Carousel</t>
        </is>
      </c>
      <c r="J21" s="21" t="inlineStr">
        <is>
          <t>Spotlight partner: perkenalkan salah satu Founding Circle Partner (mis. Fit4Go / PPYNI) &amp; alasan mereka gabung ekosistem Shape</t>
        </is>
      </c>
      <c r="K21" s="21" t="inlineStr">
        <is>
          <t>Follow &amp; kunjungi partner terkait</t>
        </is>
      </c>
      <c r="L21" s="21" t="inlineStr">
        <is>
          <t>Interest</t>
        </is>
      </c>
      <c r="M21" s="21" t="inlineStr">
        <is>
          <t>Kenalan sama salah satu Founding Circle Partners yang udah gabung membangun ekosistem wellness Indonesia bareng Shape.</t>
        </is>
      </c>
      <c r="N21" s="21" t="inlineStr">
        <is>
          <t>Template A, versi partner-spotlight: logo Founding Circle Partner besar di tengah, highlight box berisi 1 kalimat alasan mereka gabung, foto/produk partner (bukan kucing).</t>
        </is>
      </c>
      <c r="O21" s="21" t="inlineStr">
        <is>
          <t>12.00-13.00 (istirahat siang) atau 19.00-21.00 (malam santai) — butuh audiens yg gak buru-buru krn perlu swipe &amp; baca</t>
        </is>
      </c>
      <c r="P21" s="21" t="inlineStr">
        <is>
          <t>Selasa-Kamis — hindari Senin (masih beres2 kerjaan) &amp; Jumat/weekend (mode kerja sudah 'off')</t>
        </is>
      </c>
      <c r="Q21" s="15" t="inlineStr">
        <is>
          <t>Draft + menunggu aset/data</t>
        </is>
      </c>
      <c r="R21" s="19" t="inlineStr">
        <is>
          <t>C08.pptx</t>
        </is>
      </c>
      <c r="S21" s="19" t="inlineStr">
        <is>
          <t>C08-spotlight-founding-circle</t>
        </is>
      </c>
      <c r="T21" s="15" t="inlineStr"/>
      <c r="U21" s="15" t="inlineStr">
        <is>
          <t>TEMPLATE: partner belum ditentukan. Butuh nama partner, bidang, kutipan alasan gabung (disetujui partner), logo, foto/produk, handle IG.</t>
        </is>
      </c>
      <c r="V21" s="15" t="inlineStr">
        <is>
          <t>Kenalan sama salah satu Founding Circle Partners yang udah gabung membangun ekosistem wellness Indonesia bareng Shape.
[NAMA PARTNER] bergerak di [bidang]. Alasan mereka bergabung ada di slide, geser ya.
Follow dan kunjungi [@handle_partner], lalu follow @shape.indonesia untuk kabar sesi Shape Expert Network berikutnya.
#ShapeIndonesia #ShapeExpertNetwork #FoundingCircle #LiveBetterLongerFitter</t>
        </is>
      </c>
      <c r="W21" s="15" t="inlineStr"/>
      <c r="X21" s="16" t="n"/>
      <c r="Y21" s="16" t="n"/>
      <c r="Z21" s="16" t="n"/>
      <c r="AA21" s="16" t="n"/>
      <c r="AB21" s="16" t="n"/>
      <c r="AC21" s="17">
        <f>SUM(X21:AB21)</f>
        <v/>
      </c>
      <c r="AD21" s="18" t="inlineStr">
        <is>
          <t>C07</t>
        </is>
      </c>
    </row>
    <row r="22" ht="143" customHeight="1">
      <c r="A22" s="23" t="inlineStr">
        <is>
          <t>C09</t>
        </is>
      </c>
      <c r="B22" s="24" t="inlineStr">
        <is>
          <t>November</t>
        </is>
      </c>
      <c r="C22" s="24" t="inlineStr">
        <is>
          <t>Minggu 1</t>
        </is>
      </c>
      <c r="D22" s="24" t="inlineStr">
        <is>
          <t>Regular</t>
        </is>
      </c>
      <c r="E22" s="25" t="inlineStr">
        <is>
          <t>B2C</t>
        </is>
      </c>
      <c r="F22" s="24" t="inlineStr">
        <is>
          <t>-</t>
        </is>
      </c>
      <c r="G22" s="24" t="inlineStr">
        <is>
          <t>Longevity &amp; Biohacking</t>
        </is>
      </c>
      <c r="H22" s="24" t="inlineStr">
        <is>
          <t>Instagram</t>
        </is>
      </c>
      <c r="I22" s="24" t="inlineStr">
        <is>
          <t>Carousel</t>
        </is>
      </c>
      <c r="J22" s="24" t="inlineStr">
        <is>
          <t>Edukasi ringan: 3 kebiasaan simpel yang berkontribusi ke 'umur panjang aktif'</t>
        </is>
      </c>
      <c r="K22" s="24" t="inlineStr">
        <is>
          <t>Simpan &amp; share</t>
        </is>
      </c>
      <c r="L22" s="24" t="inlineStr">
        <is>
          <t>Awareness</t>
        </is>
      </c>
      <c r="M22" s="24" t="inlineStr">
        <is>
          <t>3 kebiasaan simpel yang katanya bikin makin panjang umur (dan aktif) — nomor 1 gratis</t>
        </is>
      </c>
      <c r="N22" s="24" t="inlineStr">
        <is>
          <t>Template A. Judul '3 Kebiasaan Simpel Umur Panjang Aktif' via highlight box, 3 poin masing-masing box biru terpisah per slide.</t>
        </is>
      </c>
      <c r="O22" s="24" t="inlineStr">
        <is>
          <t>12.00-13.00 (istirahat siang) atau 19.00-21.00 (malam santai) — butuh audiens yg gak buru-buru krn perlu swipe &amp; baca</t>
        </is>
      </c>
      <c r="P22" s="24" t="inlineStr">
        <is>
          <t>Selasa siang atau Minggu malam — butuh audiens yg punya waktu fokus baca/swipe</t>
        </is>
      </c>
      <c r="Q22" s="26" t="inlineStr">
        <is>
          <t>Draft jadi</t>
        </is>
      </c>
      <c r="R22" s="30" t="inlineStr">
        <is>
          <t>C09.pptx</t>
        </is>
      </c>
      <c r="S22" s="30" t="inlineStr">
        <is>
          <t>C09-3-kebiasaan-umur-panjang</t>
        </is>
      </c>
      <c r="T22" s="26" t="inlineStr"/>
      <c r="U22" s="26" t="inlineStr">
        <is>
          <t>3 kebiasaan adalah pilihan umum (plan hanya menyebut 'nomor 1 gratis'). Tanpa angka &amp; klaim.</t>
        </is>
      </c>
      <c r="V22" s="26" t="inlineStr">
        <is>
          <t>3 kebiasaan simpel yang katanya bikin makin panjang umur (dan tetap aktif) — nomor 1 gratis.
Bukan hal baru, tapi sering terlewat: tidur cukup dan teratur, gerak kecil tiap hari, dan tetap terhubung dengan orang-orang di sekitar kita. Mulai dari satu dulu, nggak perlu langsung semuanya.
Simpan biar inget lagi 📌 dan kirim ke teman yang pengen panjang umur (dan tetap aktif). Follow @shape.indonesia untuk obrolan wellness lainnya.
#ShapeIndonesia #LiveBetterLongerFitter #Longevity #HidupSehat</t>
        </is>
      </c>
      <c r="W22" s="26" t="inlineStr"/>
      <c r="X22" s="27" t="n"/>
      <c r="Y22" s="27" t="n"/>
      <c r="Z22" s="27" t="n"/>
      <c r="AA22" s="27" t="n"/>
      <c r="AB22" s="27" t="n"/>
      <c r="AC22" s="28">
        <f>SUM(X22:AB22)</f>
        <v/>
      </c>
      <c r="AD22" s="29" t="inlineStr">
        <is>
          <t>C02</t>
        </is>
      </c>
    </row>
    <row r="23" ht="65" customHeight="1">
      <c r="A23" s="12" t="inlineStr">
        <is>
          <t>R09</t>
        </is>
      </c>
      <c r="B23" s="13" t="inlineStr">
        <is>
          <t>November</t>
        </is>
      </c>
      <c r="C23" s="13" t="inlineStr">
        <is>
          <t>Minggu 1</t>
        </is>
      </c>
      <c r="D23" s="13" t="inlineStr">
        <is>
          <t>Regular</t>
        </is>
      </c>
      <c r="E23" s="14" t="inlineStr">
        <is>
          <t>B2C</t>
        </is>
      </c>
      <c r="F23" s="13" t="inlineStr">
        <is>
          <t>-</t>
        </is>
      </c>
      <c r="G23" s="13" t="inlineStr">
        <is>
          <t>Fitness</t>
        </is>
      </c>
      <c r="H23" s="13" t="inlineStr">
        <is>
          <t>Instagram</t>
        </is>
      </c>
      <c r="I23" s="13" t="inlineStr">
        <is>
          <t>Reels</t>
        </is>
      </c>
      <c r="J23" s="13" t="inlineStr">
        <is>
          <t>Relatable: alarm gym pagi vs realita snooze 5x</t>
        </is>
      </c>
      <c r="K23" s="13" t="inlineStr">
        <is>
          <t>Ajak komen relate</t>
        </is>
      </c>
      <c r="L23" s="13" t="inlineStr">
        <is>
          <t>Awareness</t>
        </is>
      </c>
      <c r="M23" s="13" t="inlineStr">
        <is>
          <t>Alarm: 'bangun, gym time!' Kamu: *snooze* 5x. Siapa senasib?</t>
        </is>
      </c>
      <c r="N23" s="13" t="inlineStr">
        <is>
          <t>1) Close-up HP alarm berbunyi jam gym pagi (props di dekat kucing/hewan ASLI yg lagi tidur). 2) Insert kucing/hewan 'menekan' snooze / bergerak males (jump cut cepat). 3) Cutaway kucing/hewan tidur lagi, sepatu gym belum dipakai di lantai. 4) Ending jam nunjukin siang + teks overlay 'Alarm: bangun, gym time! Kamu: *snooze* 5x 😴'. WAJIB foto/video ASLI candid, bukan AI/stock.</t>
        </is>
      </c>
      <c r="O23" s="13" t="inlineStr">
        <is>
          <t>15.00-17.00 (jeda sore) atau 19.00-22.00 (prime time malam) — hindari pagi krn Reels butuh 'mood santai scroll', bukan buru-buru</t>
        </is>
      </c>
      <c r="P23" s="13" t="inlineStr">
        <is>
          <t>Rabu atau Sabtu — jeda tengah minggu &amp; santai akhir pekan, mood 'cari hiburan ringan'</t>
        </is>
      </c>
      <c r="Q23" s="15" t="inlineStr">
        <is>
          <t>Belum dikerjakan (di luar skill carousel)</t>
        </is>
      </c>
      <c r="R23" s="15" t="inlineStr"/>
      <c r="S23" s="15" t="inlineStr"/>
      <c r="T23" s="15" t="inlineStr"/>
      <c r="U23" s="15" t="inlineStr"/>
      <c r="V23" s="15" t="inlineStr"/>
      <c r="W23" s="15" t="inlineStr"/>
      <c r="X23" s="16" t="n"/>
      <c r="Y23" s="16" t="n"/>
      <c r="Z23" s="16" t="n"/>
      <c r="AA23" s="16" t="n"/>
      <c r="AB23" s="16" t="n"/>
      <c r="AC23" s="17">
        <f>SUM(X23:AB23)</f>
        <v/>
      </c>
      <c r="AD23" s="18" t="inlineStr">
        <is>
          <t>C03</t>
        </is>
      </c>
    </row>
    <row r="24" ht="156" customHeight="1">
      <c r="A24" s="20" t="inlineStr">
        <is>
          <t>C10</t>
        </is>
      </c>
      <c r="B24" s="21" t="inlineStr">
        <is>
          <t>November</t>
        </is>
      </c>
      <c r="C24" s="21" t="inlineStr">
        <is>
          <t>Minggu 2</t>
        </is>
      </c>
      <c r="D24" s="21" t="inlineStr">
        <is>
          <t>Campaign</t>
        </is>
      </c>
      <c r="E24" s="22" t="inlineStr">
        <is>
          <t>B2B</t>
        </is>
      </c>
      <c r="F24" s="21" t="inlineStr">
        <is>
          <t>Sesi 4</t>
        </is>
      </c>
      <c r="G24" s="21" t="inlineStr">
        <is>
          <t>Longevity &amp; Biohacking</t>
        </is>
      </c>
      <c r="H24" s="21" t="inlineStr">
        <is>
          <t>Instagram + LinkedIn</t>
        </is>
      </c>
      <c r="I24" s="21" t="inlineStr">
        <is>
          <t>Carousel</t>
        </is>
      </c>
      <c r="J24" s="21" t="inlineStr">
        <is>
          <t>Teaser H-7: sesi utk wellness business owner &amp; recovery/biohacking practitioner — angle bisnis, bukan gaya hidup pribadi founder</t>
        </is>
      </c>
      <c r="K24" s="21" t="inlineStr">
        <is>
          <t>Cek LinkedIn Events / link bio</t>
        </is>
      </c>
      <c r="L24" s="21" t="inlineStr">
        <is>
          <t>Interest</t>
        </is>
      </c>
      <c r="M24" s="21" t="inlineStr">
        <is>
          <t>Recovery &amp; biohacking makin jadi peluang bisnis wellness. Sesi Longevity Shape Expert Network segera dibuka.</t>
        </is>
      </c>
      <c r="N24" s="21" t="inlineStr">
        <is>
          <t>Template A, versi formal (kurangi elemen meme). Judul 'Recovery &amp; Biohacking: Peluang Bisnis Wellness' dlm highlight box, tanpa foto kucing — pakai foto peralatan recovery generik jika ada.</t>
        </is>
      </c>
      <c r="O24" s="21" t="inlineStr">
        <is>
          <t>12.00-13.00 (istirahat siang) atau 19.00-21.00 (malam santai) — butuh audiens yg gak buru-buru krn perlu swipe &amp; baca</t>
        </is>
      </c>
      <c r="P24" s="21" t="inlineStr">
        <is>
          <t>Selasa-Kamis — hindari Senin (masih beres2 kerjaan) &amp; Jumat/weekend (mode kerja sudah 'off')</t>
        </is>
      </c>
      <c r="Q24" s="15" t="inlineStr">
        <is>
          <t>Draft + menunggu aset/data</t>
        </is>
      </c>
      <c r="R24" s="19" t="inlineStr">
        <is>
          <t>C10.pptx</t>
        </is>
      </c>
      <c r="S24" s="19" t="inlineStr">
        <is>
          <t>C10-sesi4-recovery-biohacking</t>
        </is>
      </c>
      <c r="T24" s="15" t="inlineStr"/>
      <c r="U24" s="15" t="inlineStr">
        <is>
          <t>Butuh tanggal &amp; jam Sesi 4 dan cek link LinkedIn Events. 'Pengelola gym/studio/klinik' ditambahkan sendiri. Foto alat recovery generik opsional.</t>
        </is>
      </c>
      <c r="V24" s="15" t="inlineStr">
        <is>
          <t>Recovery &amp; biohacking makin jadi peluang bisnis wellness. Sesi Longevity Shape Expert Network segera dibuka.
Untuk pemilik bisnis wellness, praktisi recovery dan biohacking, serta pengelola gym, studio, dan klinik: ini kesempatan membaca arah industrinya bersama.
Sesi 4 khusus 200+ profesional terpilih. Cek LinkedIn Events di bio untuk informasinya.
#ShapeIndonesia #ShapeExpertNetwork #Longevity #Biohacking #WellnessBusiness #LiveBetterLongerFitter</t>
        </is>
      </c>
      <c r="W24" s="15" t="inlineStr"/>
      <c r="X24" s="16" t="n"/>
      <c r="Y24" s="16" t="n"/>
      <c r="Z24" s="16" t="n"/>
      <c r="AA24" s="16" t="n"/>
      <c r="AB24" s="16" t="n"/>
      <c r="AC24" s="17">
        <f>SUM(X24:AB24)</f>
        <v/>
      </c>
      <c r="AD24" s="18" t="inlineStr">
        <is>
          <t>C04</t>
        </is>
      </c>
    </row>
    <row r="25" ht="65" customHeight="1">
      <c r="A25" s="12" t="inlineStr">
        <is>
          <t>R10</t>
        </is>
      </c>
      <c r="B25" s="13" t="inlineStr">
        <is>
          <t>November</t>
        </is>
      </c>
      <c r="C25" s="13" t="inlineStr">
        <is>
          <t>Minggu 2</t>
        </is>
      </c>
      <c r="D25" s="13" t="inlineStr">
        <is>
          <t>Regular</t>
        </is>
      </c>
      <c r="E25" s="14" t="inlineStr">
        <is>
          <t>B2C</t>
        </is>
      </c>
      <c r="F25" s="13" t="inlineStr">
        <is>
          <t>-</t>
        </is>
      </c>
      <c r="G25" s="13" t="inlineStr">
        <is>
          <t>Health</t>
        </is>
      </c>
      <c r="H25" s="13" t="inlineStr">
        <is>
          <t>Instagram</t>
        </is>
      </c>
      <c r="I25" s="13" t="inlineStr">
        <is>
          <t>Reels</t>
        </is>
      </c>
      <c r="J25" s="13" t="inlineStr">
        <is>
          <t>Relatable: kerja WFH tapi lupa gerak dari pagi sampai sore</t>
        </is>
      </c>
      <c r="K25" s="13" t="inlineStr">
        <is>
          <t>Ajak komen relate</t>
        </is>
      </c>
      <c r="L25" s="13" t="inlineStr">
        <is>
          <t>Awareness</t>
        </is>
      </c>
      <c r="M25" s="13" t="inlineStr">
        <is>
          <t>WFH: niatnya fleksibel gerak kapan aja. Realitanya duduk dari jam 8 sampai jam 5 🙃</t>
        </is>
      </c>
      <c r="N25" s="13" t="inlineStr">
        <is>
          <t>1) Medium shot meja kerja WFH pagi hari, kucing/hewan ASLI duduk di kursi/meja, kopi masih penuh. 2) Time-lapse simulasi (jam berubah pagi-&gt;sore) posisi kucing/hewan sama persis, gak gerak. 3) Cutaway kucing/hewan 'meregangkan badan' pegal saat berdiri. 4) Teks overlay 'WFH: niatnya fleksibel gerak kapan aja. Realitanya duduk dari jam 8-5 🙃' + logo. WAJIB foto/video ASLI candid, bukan AI/stock.</t>
        </is>
      </c>
      <c r="O25" s="13" t="inlineStr">
        <is>
          <t>15.00-17.00 (jeda sore) atau 19.00-22.00 (prime time malam) — hindari pagi krn Reels butuh 'mood santai scroll', bukan buru-buru</t>
        </is>
      </c>
      <c r="P25" s="13" t="inlineStr">
        <is>
          <t>Rabu atau Sabtu — jeda tengah minggu &amp; santai akhir pekan, mood 'cari hiburan ringan'</t>
        </is>
      </c>
      <c r="Q25" s="15" t="inlineStr">
        <is>
          <t>Belum dikerjakan (di luar skill carousel)</t>
        </is>
      </c>
      <c r="R25" s="15" t="inlineStr"/>
      <c r="S25" s="15" t="inlineStr"/>
      <c r="T25" s="15" t="inlineStr"/>
      <c r="U25" s="15" t="inlineStr"/>
      <c r="V25" s="15" t="inlineStr"/>
      <c r="W25" s="15" t="inlineStr"/>
      <c r="X25" s="16" t="n"/>
      <c r="Y25" s="16" t="n"/>
      <c r="Z25" s="16" t="n"/>
      <c r="AA25" s="16" t="n"/>
      <c r="AB25" s="16" t="n"/>
      <c r="AC25" s="17">
        <f>SUM(X25:AB25)</f>
        <v/>
      </c>
      <c r="AD25" s="18" t="inlineStr">
        <is>
          <t>C05</t>
        </is>
      </c>
    </row>
    <row r="26" ht="52" customHeight="1">
      <c r="A26" s="20" t="inlineStr">
        <is>
          <t>R11</t>
        </is>
      </c>
      <c r="B26" s="21" t="inlineStr">
        <is>
          <t>November</t>
        </is>
      </c>
      <c r="C26" s="21" t="inlineStr">
        <is>
          <t>Minggu 3</t>
        </is>
      </c>
      <c r="D26" s="21" t="inlineStr">
        <is>
          <t>Campaign</t>
        </is>
      </c>
      <c r="E26" s="14" t="inlineStr">
        <is>
          <t>B2C</t>
        </is>
      </c>
      <c r="F26" s="21" t="inlineStr">
        <is>
          <t>Sesi 4 (teaser konsumen)</t>
        </is>
      </c>
      <c r="G26" s="21" t="inlineStr">
        <is>
          <t>Longevity &amp; Biohacking</t>
        </is>
      </c>
      <c r="H26" s="21" t="inlineStr">
        <is>
          <t>Instagram</t>
        </is>
      </c>
      <c r="I26" s="21" t="inlineStr">
        <is>
          <t>Reels/Story</t>
        </is>
      </c>
      <c r="J26" s="21" t="inlineStr">
        <is>
          <t>Teaser versi konsumen umum: 'apa itu biohacking sebenarnya' dikemas santai, memancing rasa penasaran komunitas</t>
        </is>
      </c>
      <c r="K26" s="21" t="inlineStr">
        <is>
          <t>Follow @shape.indonesia</t>
        </is>
      </c>
      <c r="L26" s="21" t="inlineStr">
        <is>
          <t>Consideration</t>
        </is>
      </c>
      <c r="M26" s="21" t="inlineStr">
        <is>
          <t>Biohacking itu ribet &amp; mahal? Belum tentu. Cek obrolannya bareng @shape.indonesia</t>
        </is>
      </c>
      <c r="N26" s="21" t="inlineStr">
        <is>
          <t>Reels talking-head santai: 1) Host/talent duduk santai ngobrol ke kamera 'Biohacking itu apa sih sebenarnya?'. 2) Cutaway ilustrasi sederhana (tidur, jalan kaki, cold shower ringan) dgn teks overlay highlight box. 3) Ending ajakan follow @shape.indonesia. Gaya talking-head casual, bukan studio formal, biar terasa approachable buat B2C.</t>
        </is>
      </c>
      <c r="O26" s="21" t="inlineStr">
        <is>
          <t>Reels: 15.00-17.00 atau 19.00-22.00. Story: 07.00-08.00 &amp; 12.00-13.00</t>
        </is>
      </c>
      <c r="P26" s="21" t="inlineStr">
        <is>
          <t>Kamis-Sabtu — audiens mulai masuk mode santai, lebih terbuka coba hal baru drpd awal minggu</t>
        </is>
      </c>
      <c r="Q26" s="15" t="inlineStr">
        <is>
          <t>Belum dikerjakan (di luar skill carousel)</t>
        </is>
      </c>
      <c r="R26" s="15" t="inlineStr"/>
      <c r="S26" s="15" t="inlineStr"/>
      <c r="T26" s="15" t="inlineStr"/>
      <c r="U26" s="15" t="inlineStr"/>
      <c r="V26" s="15" t="inlineStr"/>
      <c r="W26" s="15" t="inlineStr"/>
      <c r="X26" s="16" t="n"/>
      <c r="Y26" s="16" t="n"/>
      <c r="Z26" s="16" t="n"/>
      <c r="AA26" s="16" t="n"/>
      <c r="AB26" s="16" t="n"/>
      <c r="AC26" s="17">
        <f>SUM(X26:AB26)</f>
        <v/>
      </c>
      <c r="AD26" s="18" t="inlineStr">
        <is>
          <t>C06</t>
        </is>
      </c>
    </row>
    <row r="27" ht="195" customHeight="1">
      <c r="A27" s="12" t="inlineStr">
        <is>
          <t>C11</t>
        </is>
      </c>
      <c r="B27" s="13" t="inlineStr">
        <is>
          <t>November</t>
        </is>
      </c>
      <c r="C27" s="13" t="inlineStr">
        <is>
          <t>Minggu 3</t>
        </is>
      </c>
      <c r="D27" s="13" t="inlineStr">
        <is>
          <t>Regular</t>
        </is>
      </c>
      <c r="E27" s="14" t="inlineStr">
        <is>
          <t>B2C</t>
        </is>
      </c>
      <c r="F27" s="13" t="inlineStr">
        <is>
          <t>-</t>
        </is>
      </c>
      <c r="G27" s="13" t="inlineStr">
        <is>
          <t>Aesthetics</t>
        </is>
      </c>
      <c r="H27" s="13" t="inlineStr">
        <is>
          <t>Instagram</t>
        </is>
      </c>
      <c r="I27" s="13" t="inlineStr">
        <is>
          <t>Carousel</t>
        </is>
      </c>
      <c r="J27" s="13" t="inlineStr">
        <is>
          <t>Edukasi: kandungan skincare yang paling sering disalahpahami</t>
        </is>
      </c>
      <c r="K27" s="13" t="inlineStr">
        <is>
          <t>Simpan &amp; share</t>
        </is>
      </c>
      <c r="L27" s="13" t="inlineStr">
        <is>
          <t>Awareness</t>
        </is>
      </c>
      <c r="M27" s="13" t="inlineStr">
        <is>
          <t>3 kandungan skincare yang sering disalahartikan — no. 3 paling banyak salah paham</t>
        </is>
      </c>
      <c r="N27" s="13" t="inlineStr">
        <is>
          <t>Template A. Judul '3 Kandungan Skincare yg Sering Disalahpahami' via highlight box, 3 poin per slide dgn box biru terpisah.</t>
        </is>
      </c>
      <c r="O27" s="13" t="inlineStr">
        <is>
          <t>12.00-13.00 (istirahat siang) atau 19.00-21.00 (malam santai) — butuh audiens yg gak buru-buru krn perlu swipe &amp; baca</t>
        </is>
      </c>
      <c r="P27" s="13" t="inlineStr">
        <is>
          <t>Selasa siang atau Minggu malam — butuh audiens yg punya waktu fokus baca/swipe</t>
        </is>
      </c>
      <c r="Q27" s="15" t="inlineStr">
        <is>
          <t>Draft + menunggu aset/data</t>
        </is>
      </c>
      <c r="R27" s="19" t="inlineStr">
        <is>
          <t>C11.pptx</t>
        </is>
      </c>
      <c r="S27" s="19" t="inlineStr">
        <is>
          <t>C11-3-kandungan-skincare</t>
        </is>
      </c>
      <c r="T27" s="15" t="inlineStr"/>
      <c r="U27" s="15" t="inlineStr">
        <is>
          <t>3 kandungan (alkohol, retinol, AHA/BHA) dipilih sendiri: setujui atau ganti, dan cek narasumber (dokter kulit/formulator) sebelum posting.</t>
        </is>
      </c>
      <c r="V27" s="15" t="inlineStr">
        <is>
          <t>3 kandungan skincare yang sering disalahartikan — no. 3 paling banyak salah paham.
Alkohol, retinol, dan asam (AHA/BHA) sering dianggap "pasti jahat" atau "harus perih biar bekerja". Padahal ceritanya lebih halus: jenisnya berbeda, dan dosis serta frekuensi yang menentukan. Geser buat lihat ringkasannya.
Catatan: ini informasi umum dan bukan pengganti saran dokter kulit. Kulit tiap orang beda, jadi mulai pelan dan konsultasikan kalau ragu.
Simpan biar gak salah paham lagi 📌 dan kirim ke teman yang lagi hobi skincare. Follow @shape.indonesia untuk obrolan wellness lainnya.
#ShapeIndonesia #LiveBetterLongerFitter #Skincare #Aesthetics</t>
        </is>
      </c>
      <c r="W27" s="15" t="inlineStr"/>
      <c r="X27" s="16" t="n"/>
      <c r="Y27" s="16" t="n"/>
      <c r="Z27" s="16" t="n"/>
      <c r="AA27" s="16" t="n"/>
      <c r="AB27" s="16" t="n"/>
      <c r="AC27" s="17">
        <f>SUM(X27:AB27)</f>
        <v/>
      </c>
      <c r="AD27" s="18" t="inlineStr">
        <is>
          <t>C07</t>
        </is>
      </c>
    </row>
    <row r="28" ht="65" customHeight="1">
      <c r="A28" s="12" t="inlineStr">
        <is>
          <t>R12</t>
        </is>
      </c>
      <c r="B28" s="13" t="inlineStr">
        <is>
          <t>November</t>
        </is>
      </c>
      <c r="C28" s="13" t="inlineStr">
        <is>
          <t>Minggu 4</t>
        </is>
      </c>
      <c r="D28" s="13" t="inlineStr">
        <is>
          <t>Regular</t>
        </is>
      </c>
      <c r="E28" s="14" t="inlineStr">
        <is>
          <t>B2C</t>
        </is>
      </c>
      <c r="F28" s="13" t="inlineStr">
        <is>
          <t>-</t>
        </is>
      </c>
      <c r="G28" s="13" t="inlineStr">
        <is>
          <t>Mind Power</t>
        </is>
      </c>
      <c r="H28" s="13" t="inlineStr">
        <is>
          <t>Instagram</t>
        </is>
      </c>
      <c r="I28" s="13" t="inlineStr">
        <is>
          <t>Reels</t>
        </is>
      </c>
      <c r="J28" s="13" t="inlineStr">
        <is>
          <t>Relatable: overthinking sebelum tidur, padahal besok masih jauh urusannya</t>
        </is>
      </c>
      <c r="K28" s="13" t="inlineStr">
        <is>
          <t>Ajak komen relate</t>
        </is>
      </c>
      <c r="L28" s="13" t="inlineStr">
        <is>
          <t>Awareness</t>
        </is>
      </c>
      <c r="M28" s="13" t="inlineStr">
        <is>
          <t>Jam 11 malam otak: 'yuk kita pikirin semua masalah hidup sekarang' 🙃</t>
        </is>
      </c>
      <c r="N28" s="13" t="inlineStr">
        <is>
          <t>1) Medium shot kucing/hewan ASLI di kasur, mata melek jam malam, lampu kamar redup. 2) Cutaway bubble teks overlay bermunculan cepat (representasi overthinking) di sekitar kucing/hewan. 3) Ending kucing/hewan menghela napas + teks overlay 'Jam 11 malam otak: yuk kita pikirin semua masalah hidup sekarang 🙃'. Lighting gelap-hangat. WAJIB foto/video ASLI candid, bukan AI/stock.</t>
        </is>
      </c>
      <c r="O28" s="13" t="inlineStr">
        <is>
          <t>15.00-17.00 (jeda sore) atau 19.00-22.00 (prime time malam) — hindari pagi krn Reels butuh 'mood santai scroll', bukan buru-buru</t>
        </is>
      </c>
      <c r="P28" s="13" t="inlineStr">
        <is>
          <t>Minggu malam (18.00-21.00) — manfaatkan momen 'Sunday Scaries', konten reflektif paling nempel di jam ini</t>
        </is>
      </c>
      <c r="Q28" s="15" t="inlineStr">
        <is>
          <t>Belum dikerjakan (di luar skill carousel)</t>
        </is>
      </c>
      <c r="R28" s="15" t="inlineStr"/>
      <c r="S28" s="15" t="inlineStr"/>
      <c r="T28" s="15" t="inlineStr"/>
      <c r="U28" s="15" t="inlineStr"/>
      <c r="V28" s="15" t="inlineStr"/>
      <c r="W28" s="15" t="inlineStr"/>
      <c r="X28" s="16" t="n"/>
      <c r="Y28" s="16" t="n"/>
      <c r="Z28" s="16" t="n"/>
      <c r="AA28" s="16" t="n"/>
      <c r="AB28" s="16" t="n"/>
      <c r="AC28" s="17">
        <f>SUM(X28:AB28)</f>
        <v/>
      </c>
      <c r="AD28" s="18" t="inlineStr">
        <is>
          <t>C08</t>
        </is>
      </c>
    </row>
    <row r="29" ht="156" customHeight="1">
      <c r="A29" s="20" t="inlineStr">
        <is>
          <t>C12</t>
        </is>
      </c>
      <c r="B29" s="21" t="inlineStr">
        <is>
          <t>November</t>
        </is>
      </c>
      <c r="C29" s="21" t="inlineStr">
        <is>
          <t>Minggu 4</t>
        </is>
      </c>
      <c r="D29" s="21" t="inlineStr">
        <is>
          <t>Campaign</t>
        </is>
      </c>
      <c r="E29" s="22" t="inlineStr">
        <is>
          <t>B2B</t>
        </is>
      </c>
      <c r="F29" s="21" t="inlineStr">
        <is>
          <t>Recap Sesi 3 &amp; 4</t>
        </is>
      </c>
      <c r="G29" s="21" t="inlineStr">
        <is>
          <t>Health + Longevity Recap</t>
        </is>
      </c>
      <c r="H29" s="21" t="inlineStr">
        <is>
          <t>Instagram + LinkedIn</t>
        </is>
      </c>
      <c r="I29" s="21" t="inlineStr">
        <is>
          <t>Carousel recap</t>
        </is>
      </c>
      <c r="J29" s="21" t="inlineStr">
        <is>
          <t>Recap gabungan: highlight kutipan non-data dari 2 sesi bulan ini, ucapan terima kasih partner &amp; audiens</t>
        </is>
      </c>
      <c r="K29" s="21" t="inlineStr">
        <is>
          <t>Follow utk sesi Desember</t>
        </is>
      </c>
      <c r="L29" s="21" t="inlineStr">
        <is>
          <t>Consideration</t>
        </is>
      </c>
      <c r="M29" s="21" t="inlineStr">
        <is>
          <t>2 sesi udah berjalan — makasih buat semua yang ikut &amp; Founding Circle Partners yang terus dukung 🙌</t>
        </is>
      </c>
      <c r="N29" s="21" t="inlineStr">
        <is>
          <t>Template A. Slide 1 highlight box 'Recap Sesi 3 &amp; 4', kutipan singkat tiap sesi dlm box terpisah, slide akhir logo Founding Circle Partners (konsisten dgn layout recap C04).</t>
        </is>
      </c>
      <c r="O29" s="21" t="inlineStr">
        <is>
          <t>19.00-21.00 (malam, saat orang re-cap hari &amp; lebih reflektif)</t>
        </is>
      </c>
      <c r="P29" s="21" t="inlineStr">
        <is>
          <t>Selasa-Kamis — hindari Senin (masih beres2 kerjaan) &amp; Jumat/weekend (mode kerja sudah 'off')</t>
        </is>
      </c>
      <c r="Q29" s="15" t="inlineStr">
        <is>
          <t>Draft + menunggu aset/data</t>
        </is>
      </c>
      <c r="R29" s="19" t="inlineStr">
        <is>
          <t>C12.pptx</t>
        </is>
      </c>
      <c r="S29" s="19" t="inlineStr">
        <is>
          <t>C12-recap-sesi-3-4</t>
        </is>
      </c>
      <c r="T29" s="15" t="inlineStr"/>
      <c r="U29" s="15" t="inlineStr">
        <is>
          <t>Butuh nama pembicara Sesi 3 &amp; 4, kutipan asli, foto momen, 5 logo. Sesi 3 (versi konsumen) ikut recap B2B sesuai plan.</t>
        </is>
      </c>
      <c r="V29" s="15" t="inlineStr">
        <is>
          <t>2 sesi udah berjalan — makasih buat semua yang ikut &amp; Founding Circle Partners yang terus dukung 🙌
Sesi 3 membahas Health dan Sesi 4 membahas Longevity &amp; Biohacking di Shape Expert Network. Kutipan dari masing-masing sesi ada di slide, geser ya.
Terima kasih juga untuk Founding Circle Partners yang terus mendukung. Follow @shape.indonesia supaya tidak ketinggalan sesi bulan Desember.
#ShapeIndonesia #ShapeExpertNetwork #FoundingCircle #LiveBetterLongerFitter</t>
        </is>
      </c>
      <c r="W29" s="15" t="inlineStr"/>
      <c r="X29" s="16" t="n"/>
      <c r="Y29" s="16" t="n"/>
      <c r="Z29" s="16" t="n"/>
      <c r="AA29" s="16" t="n"/>
      <c r="AB29" s="16" t="n"/>
      <c r="AC29" s="17">
        <f>SUM(X29:AB29)</f>
        <v/>
      </c>
      <c r="AD29" s="18" t="inlineStr">
        <is>
          <t>C09</t>
        </is>
      </c>
    </row>
    <row r="30" ht="143" customHeight="1">
      <c r="A30" s="31" t="inlineStr">
        <is>
          <t>C13</t>
        </is>
      </c>
      <c r="B30" s="32" t="inlineStr">
        <is>
          <t>Desember</t>
        </is>
      </c>
      <c r="C30" s="32" t="inlineStr">
        <is>
          <t>Minggu 1</t>
        </is>
      </c>
      <c r="D30" s="32" t="inlineStr">
        <is>
          <t>Campaign</t>
        </is>
      </c>
      <c r="E30" s="33" t="inlineStr">
        <is>
          <t>B2B</t>
        </is>
      </c>
      <c r="F30" s="32" t="inlineStr">
        <is>
          <t>Sesi 5</t>
        </is>
      </c>
      <c r="G30" s="32" t="inlineStr">
        <is>
          <t>Aesthetics</t>
        </is>
      </c>
      <c r="H30" s="32" t="inlineStr">
        <is>
          <t>Instagram + LinkedIn</t>
        </is>
      </c>
      <c r="I30" s="32" t="inlineStr">
        <is>
          <t>Carousel</t>
        </is>
      </c>
      <c r="J30" s="32" t="inlineStr">
        <is>
          <t>Teaser H-7: sesi ingredient &amp; tren kecantikan utk brand owner kosmetik/formulator &amp; calon exhibitor Shape Expo 2027</t>
        </is>
      </c>
      <c r="K30" s="32" t="inlineStr">
        <is>
          <t>Cek LinkedIn Events / DM partnership</t>
        </is>
      </c>
      <c r="L30" s="32" t="inlineStr">
        <is>
          <t>Interest</t>
        </is>
      </c>
      <c r="M30" s="32" t="inlineStr">
        <is>
          <t>Tren ingredient kecantikan 2027 mulai dibahas di sesi Shape Expert Network berikutnya. Buat brand &amp; formulator, ini buat kamu.</t>
        </is>
      </c>
      <c r="N30" s="32" t="inlineStr">
        <is>
          <t>Template A, versi formal. Judul 'Tren Ingredient Kecantikan 2027' dlm highlight box besar, foto bahan skincare/lab generik (bukan kucing), tanpa elemen meme.</t>
        </is>
      </c>
      <c r="O30" s="32" t="inlineStr">
        <is>
          <t>12.00-13.00 (istirahat siang) atau 19.00-21.00 (malam santai) — butuh audiens yg gak buru-buru krn perlu swipe &amp; baca</t>
        </is>
      </c>
      <c r="P30" s="32" t="inlineStr">
        <is>
          <t>Selasa-Kamis — hindari Senin (masih beres2 kerjaan) &amp; Jumat/weekend (mode kerja sudah 'off')</t>
        </is>
      </c>
      <c r="Q30" s="26" t="inlineStr">
        <is>
          <t>Draft + menunggu aset/data</t>
        </is>
      </c>
      <c r="R30" s="30" t="inlineStr">
        <is>
          <t>C13.pptx</t>
        </is>
      </c>
      <c r="S30" s="30" t="inlineStr">
        <is>
          <t>C13-sesi5-ingredient-kecantikan</t>
        </is>
      </c>
      <c r="T30" s="26" t="inlineStr"/>
      <c r="U30" s="26" t="inlineStr">
        <is>
          <t>Butuh tanggal &amp; jam Sesi 5 dan link LinkedIn Events. Tidak menyebut tren/ingredient tertentu (belum ada sumber). Foto bahan skincare generik opsional.</t>
        </is>
      </c>
      <c r="V30" s="26" t="inlineStr">
        <is>
          <t>Tren ingredient kecantikan 2027 mulai dibahas di sesi Shape Expert Network berikutnya. Buat brand &amp; formulator, ini buat kamu.
Sesi 5 mengangkat Aesthetics untuk pemilik brand kosmetik, formulator, dan calon exhibitor Shape Indonesia Expo 2027.
Khusus 200+ profesional terpilih. Cek LinkedIn Events di bio atau DM kami untuk informasi partnership.
#ShapeIndonesia #ShapeExpertNetwork #Aesthetics #BeautyIndustry #LiveBetterLongerFitter</t>
        </is>
      </c>
      <c r="W30" s="26" t="inlineStr"/>
      <c r="X30" s="27" t="n"/>
      <c r="Y30" s="27" t="n"/>
      <c r="Z30" s="27" t="n"/>
      <c r="AA30" s="27" t="n"/>
      <c r="AB30" s="27" t="n"/>
      <c r="AC30" s="28">
        <f>SUM(X30:AB30)</f>
        <v/>
      </c>
      <c r="AD30" s="29" t="inlineStr">
        <is>
          <t>C10</t>
        </is>
      </c>
    </row>
    <row r="31" ht="52" customHeight="1">
      <c r="A31" s="12" t="inlineStr">
        <is>
          <t>R13</t>
        </is>
      </c>
      <c r="B31" s="13" t="inlineStr">
        <is>
          <t>Desember</t>
        </is>
      </c>
      <c r="C31" s="13" t="inlineStr">
        <is>
          <t>Minggu 1</t>
        </is>
      </c>
      <c r="D31" s="13" t="inlineStr">
        <is>
          <t>Regular</t>
        </is>
      </c>
      <c r="E31" s="14" t="inlineStr">
        <is>
          <t>B2C</t>
        </is>
      </c>
      <c r="F31" s="13" t="inlineStr">
        <is>
          <t>-</t>
        </is>
      </c>
      <c r="G31" s="13" t="inlineStr">
        <is>
          <t>Aesthetics</t>
        </is>
      </c>
      <c r="H31" s="13" t="inlineStr">
        <is>
          <t>Instagram</t>
        </is>
      </c>
      <c r="I31" s="13" t="inlineStr">
        <is>
          <t>Reels</t>
        </is>
      </c>
      <c r="J31" s="13" t="inlineStr">
        <is>
          <t>Relatable: skincare shelf penuh tapi tetap bingung pakai yang mana duluan</t>
        </is>
      </c>
      <c r="K31" s="13" t="inlineStr">
        <is>
          <t>Ajak komen relate</t>
        </is>
      </c>
      <c r="L31" s="13" t="inlineStr">
        <is>
          <t>Awareness</t>
        </is>
      </c>
      <c r="M31" s="13" t="inlineStr">
        <is>
          <t>Skincare shelf isinya 10 botol, tapi tetep bingung urutan pakainya yang mana dulu 😩</t>
        </is>
      </c>
      <c r="N31" s="13" t="inlineStr">
        <is>
          <t>1) Flat lay rak skincare 10 botol tersusun rapi (top-down, aesthetic), kucing/hewan ASLI di sampingnya. 2) Cutaway kucing/hewan 'bingung' bergantian dekati 2-3 botol. 3) Teks overlay urutan yg benar muncul di akhir sbg bonus value. 4) Ending logo. Lighting terang, warna soft pastel. WAJIB foto/video ASLI candid, bukan AI/stock.</t>
        </is>
      </c>
      <c r="O31" s="13" t="inlineStr">
        <is>
          <t>15.00-17.00 (jeda sore) atau 19.00-22.00 (prime time malam) — hindari pagi krn Reels butuh 'mood santai scroll', bukan buru-buru</t>
        </is>
      </c>
      <c r="P31" s="13" t="inlineStr">
        <is>
          <t>Rabu atau Sabtu — jeda tengah minggu &amp; santai akhir pekan, mood 'cari hiburan ringan'</t>
        </is>
      </c>
      <c r="Q31" s="15" t="inlineStr">
        <is>
          <t>Belum dikerjakan (di luar skill carousel)</t>
        </is>
      </c>
      <c r="R31" s="15" t="inlineStr"/>
      <c r="S31" s="15" t="inlineStr"/>
      <c r="T31" s="15" t="inlineStr"/>
      <c r="U31" s="15" t="inlineStr"/>
      <c r="V31" s="15" t="inlineStr"/>
      <c r="W31" s="15" t="inlineStr"/>
      <c r="X31" s="16" t="n"/>
      <c r="Y31" s="16" t="n"/>
      <c r="Z31" s="16" t="n"/>
      <c r="AA31" s="16" t="n"/>
      <c r="AB31" s="16" t="n"/>
      <c r="AC31" s="17">
        <f>SUM(X31:AB31)</f>
        <v/>
      </c>
      <c r="AD31" s="18" t="inlineStr">
        <is>
          <t>C11</t>
        </is>
      </c>
    </row>
    <row r="32" ht="156" customHeight="1">
      <c r="A32" s="12" t="inlineStr">
        <is>
          <t>C14</t>
        </is>
      </c>
      <c r="B32" s="13" t="inlineStr">
        <is>
          <t>Desember</t>
        </is>
      </c>
      <c r="C32" s="13" t="inlineStr">
        <is>
          <t>Minggu 2</t>
        </is>
      </c>
      <c r="D32" s="13" t="inlineStr">
        <is>
          <t>Regular</t>
        </is>
      </c>
      <c r="E32" s="14" t="inlineStr">
        <is>
          <t>B2C</t>
        </is>
      </c>
      <c r="F32" s="13" t="inlineStr">
        <is>
          <t>-</t>
        </is>
      </c>
      <c r="G32" s="13" t="inlineStr">
        <is>
          <t>Nutrition</t>
        </is>
      </c>
      <c r="H32" s="13" t="inlineStr">
        <is>
          <t>Instagram</t>
        </is>
      </c>
      <c r="I32" s="13" t="inlineStr">
        <is>
          <t>Carousel</t>
        </is>
      </c>
      <c r="J32" s="13" t="inlineStr">
        <is>
          <t>Edukasi: label 'natural' di kemasan makanan gak selalu berarti lebih sehat</t>
        </is>
      </c>
      <c r="K32" s="13" t="inlineStr">
        <is>
          <t>Simpan &amp; share</t>
        </is>
      </c>
      <c r="L32" s="13" t="inlineStr">
        <is>
          <t>Awareness</t>
        </is>
      </c>
      <c r="M32" s="13" t="inlineStr">
        <is>
          <t>‘Natural’ di label kemasan — beneran lebih sehat atau cuma strategi marketing?</t>
        </is>
      </c>
      <c r="N32" s="13" t="inlineStr">
        <is>
          <t>Template A. Search-bar mockup 'Natural = lebih sehat?' lanjut highlight box jawaban reflektif singkat.</t>
        </is>
      </c>
      <c r="O32" s="13" t="inlineStr">
        <is>
          <t>12.00-13.00 (istirahat siang) atau 19.00-21.00 (malam santai) — butuh audiens yg gak buru-buru krn perlu swipe &amp; baca</t>
        </is>
      </c>
      <c r="P32" s="13" t="inlineStr">
        <is>
          <t>Selasa siang atau Minggu malam — butuh audiens yg punya waktu fokus baca/swipe</t>
        </is>
      </c>
      <c r="Q32" s="15" t="inlineStr">
        <is>
          <t>Draft jadi</t>
        </is>
      </c>
      <c r="R32" s="19" t="inlineStr">
        <is>
          <t>C14.pptx</t>
        </is>
      </c>
      <c r="S32" s="19" t="inlineStr">
        <is>
          <t>C14-natural-label</t>
        </is>
      </c>
      <c r="T32" s="15" t="inlineStr"/>
      <c r="U32" s="15" t="inlineStr">
        <is>
          <t>Jawaban dibuat umum, tanpa kutipan regulasi (belum ada sumber). 4 hal yang dicek adalah saran umum.</t>
        </is>
      </c>
      <c r="V32" s="15" t="inlineStr">
        <is>
          <t>"Natural" di label kemasan — beneran lebih sehat atau cuma strategi marketing?
Kata "natural" di depan kemasan tidak otomatis berarti lebih sehat. Yang lebih bisa diandalkan adalah membaca bagian belakangnya: komposisi, kandungan gula, takaran saji, dan urutan bahan. Geser buat daftar singkatnya.
Simpan biar gak ketipu label 📌 dan kirim ke teman yang suka belanja sehat. Follow @shape.indonesia untuk obrolan wellness lainnya.
#ShapeIndonesia #LiveBetterLongerFitter #Nutrition #BacaLabel</t>
        </is>
      </c>
      <c r="W32" s="15" t="inlineStr"/>
      <c r="X32" s="16" t="n"/>
      <c r="Y32" s="16" t="n"/>
      <c r="Z32" s="16" t="n"/>
      <c r="AA32" s="16" t="n"/>
      <c r="AB32" s="16" t="n"/>
      <c r="AC32" s="17">
        <f>SUM(X32:AB32)</f>
        <v/>
      </c>
      <c r="AD32" s="18" t="inlineStr">
        <is>
          <t>C12</t>
        </is>
      </c>
    </row>
    <row r="33" ht="65" customHeight="1">
      <c r="A33" s="12" t="inlineStr">
        <is>
          <t>R14</t>
        </is>
      </c>
      <c r="B33" s="13" t="inlineStr">
        <is>
          <t>Desember</t>
        </is>
      </c>
      <c r="C33" s="13" t="inlineStr">
        <is>
          <t>Minggu 2</t>
        </is>
      </c>
      <c r="D33" s="13" t="inlineStr">
        <is>
          <t>Regular</t>
        </is>
      </c>
      <c r="E33" s="14" t="inlineStr">
        <is>
          <t>B2C</t>
        </is>
      </c>
      <c r="F33" s="13" t="inlineStr">
        <is>
          <t>-</t>
        </is>
      </c>
      <c r="G33" s="13" t="inlineStr">
        <is>
          <t>Fitness</t>
        </is>
      </c>
      <c r="H33" s="13" t="inlineStr">
        <is>
          <t>Instagram</t>
        </is>
      </c>
      <c r="I33" s="13" t="inlineStr">
        <is>
          <t>Reels</t>
        </is>
      </c>
      <c r="J33" s="13" t="inlineStr">
        <is>
          <t>Relatable: resolusi olahraga tahun baru yang biasanya berakhir minggu ke-2 Januari</t>
        </is>
      </c>
      <c r="K33" s="13" t="inlineStr">
        <is>
          <t>Ajak komen relate / share pengalaman tahun lalu</t>
        </is>
      </c>
      <c r="L33" s="13" t="inlineStr">
        <is>
          <t>Awareness</t>
        </is>
      </c>
      <c r="M33" s="13" t="inlineStr">
        <is>
          <t>Prediksi: resolusi 'rutin gym 2027' bertahan sampai minggu ke berapa? Jujur di komen 😅</t>
        </is>
      </c>
      <c r="N33" s="13" t="inlineStr">
        <is>
          <t>1) Medium shot kucing/hewan ASLI 'menulis' (props notes/planner) resolusi 'rutin gym 2027'. 2) Cutaway kalender random hari (minggu ke-2 Januari) dicoret dgn tulisan 'nyerah', kucing/hewan pasrah di sampingnya. 3) Ekspresi kucing/hewan jujur ke kamera. 4) Teks overlay ajakan tebak-tebakan di komen. Tone komedik ringan, warm lighting. WAJIB foto/video ASLI candid, bukan AI/stock.</t>
        </is>
      </c>
      <c r="O33" s="13" t="inlineStr">
        <is>
          <t>15.00-17.00 (jeda sore) atau 19.00-22.00 (prime time malam) — hindari pagi krn Reels butuh 'mood santai scroll', bukan buru-buru</t>
        </is>
      </c>
      <c r="P33" s="13" t="inlineStr">
        <is>
          <t>Rabu atau Sabtu — jeda tengah minggu &amp; santai akhir pekan, mood 'cari hiburan ringan'</t>
        </is>
      </c>
      <c r="Q33" s="15" t="inlineStr">
        <is>
          <t>Belum dikerjakan (di luar skill carousel)</t>
        </is>
      </c>
      <c r="R33" s="15" t="inlineStr"/>
      <c r="S33" s="15" t="inlineStr"/>
      <c r="T33" s="15" t="inlineStr"/>
      <c r="U33" s="15" t="inlineStr"/>
      <c r="V33" s="15" t="inlineStr"/>
      <c r="W33" s="15" t="inlineStr"/>
      <c r="X33" s="16" t="n"/>
      <c r="Y33" s="16" t="n"/>
      <c r="Z33" s="16" t="n"/>
      <c r="AA33" s="16" t="n"/>
      <c r="AB33" s="16" t="n"/>
      <c r="AC33" s="17">
        <f>SUM(X33:AB33)</f>
        <v/>
      </c>
      <c r="AD33" s="18" t="inlineStr">
        <is>
          <t>C13</t>
        </is>
      </c>
    </row>
    <row r="34" ht="52" customHeight="1">
      <c r="A34" s="20" t="inlineStr">
        <is>
          <t>R15</t>
        </is>
      </c>
      <c r="B34" s="21" t="inlineStr">
        <is>
          <t>Desember</t>
        </is>
      </c>
      <c r="C34" s="21" t="inlineStr">
        <is>
          <t>Minggu 3</t>
        </is>
      </c>
      <c r="D34" s="21" t="inlineStr">
        <is>
          <t>Campaign</t>
        </is>
      </c>
      <c r="E34" s="14" t="inlineStr">
        <is>
          <t>B2C</t>
        </is>
      </c>
      <c r="F34" s="21" t="inlineStr">
        <is>
          <t>Sesi 6 - BONUS</t>
        </is>
      </c>
      <c r="G34" s="21" t="inlineStr">
        <is>
          <t>Literasi Keuangan &amp; Investasi</t>
        </is>
      </c>
      <c r="H34" s="21" t="inlineStr">
        <is>
          <t>Instagram</t>
        </is>
      </c>
      <c r="I34" s="21" t="inlineStr">
        <is>
          <t>Reels/Story</t>
        </is>
      </c>
      <c r="J34" s="21" t="inlineStr">
        <is>
          <t>Konten bonus konsumen muda: kaitkan kesehatan &amp; masa depan finansial ('sehat itu investasi juga')</t>
        </is>
      </c>
      <c r="K34" s="21" t="inlineStr">
        <is>
          <t>Follow @shape.indonesia</t>
        </is>
      </c>
      <c r="L34" s="21" t="inlineStr">
        <is>
          <t>Consideration</t>
        </is>
      </c>
      <c r="M34" s="21" t="inlineStr">
        <is>
          <t>Investasi itu bukan cuma soal uang — badan sehat juga aset masa depan. Ada obrolan bonus soal ini di Shape Expert Network.</t>
        </is>
      </c>
      <c r="N34" s="21" t="inlineStr">
        <is>
          <t>Reels talking-head + b-roll: 1) Host ngomong 'sehat itu investasi juga' ke kamera. 2) Cutaway ilustrasi grafik naik sederhana disandingkan org olahraga, teks overlay highlight box. 3) Ending logo Shape + CTA follow. Gaya approachable, warna kuning-emas ringan simbol 'investasi' dipadu biru Shape.</t>
        </is>
      </c>
      <c r="O34" s="21" t="inlineStr">
        <is>
          <t>Reels: 15.00-17.00 atau 19.00-22.00. Story: 07.00-08.00 &amp; 12.00-13.00</t>
        </is>
      </c>
      <c r="P34" s="21" t="inlineStr">
        <is>
          <t>Kamis-Sabtu — audiens mulai masuk mode santai, lebih terbuka coba hal baru drpd awal minggu</t>
        </is>
      </c>
      <c r="Q34" s="15" t="inlineStr">
        <is>
          <t>Belum dikerjakan (di luar skill carousel)</t>
        </is>
      </c>
      <c r="R34" s="15" t="inlineStr"/>
      <c r="S34" s="15" t="inlineStr"/>
      <c r="T34" s="15" t="inlineStr"/>
      <c r="U34" s="15" t="inlineStr"/>
      <c r="V34" s="15" t="inlineStr"/>
      <c r="W34" s="15" t="inlineStr"/>
      <c r="X34" s="16" t="n"/>
      <c r="Y34" s="16" t="n"/>
      <c r="Z34" s="16" t="n"/>
      <c r="AA34" s="16" t="n"/>
      <c r="AB34" s="16" t="n"/>
      <c r="AC34" s="17">
        <f>SUM(X34:AB34)</f>
        <v/>
      </c>
      <c r="AD34" s="18" t="inlineStr">
        <is>
          <t>C14</t>
        </is>
      </c>
    </row>
    <row r="35" ht="143" customHeight="1">
      <c r="A35" s="12" t="inlineStr">
        <is>
          <t>C15</t>
        </is>
      </c>
      <c r="B35" s="13" t="inlineStr">
        <is>
          <t>Desember</t>
        </is>
      </c>
      <c r="C35" s="13" t="inlineStr">
        <is>
          <t>Minggu 3</t>
        </is>
      </c>
      <c r="D35" s="13" t="inlineStr">
        <is>
          <t>Regular</t>
        </is>
      </c>
      <c r="E35" s="14" t="inlineStr">
        <is>
          <t>B2C</t>
        </is>
      </c>
      <c r="F35" s="13" t="inlineStr">
        <is>
          <t>-</t>
        </is>
      </c>
      <c r="G35" s="13" t="inlineStr">
        <is>
          <t>Health</t>
        </is>
      </c>
      <c r="H35" s="13" t="inlineStr">
        <is>
          <t>Instagram</t>
        </is>
      </c>
      <c r="I35" s="13" t="inlineStr">
        <is>
          <t>Carousel</t>
        </is>
      </c>
      <c r="J35" s="13" t="inlineStr">
        <is>
          <t>Edukasi ringan: kebiasaan akhir tahun yang diam-diam bikin badan cepat lelah (begadang, kurang gerak, makan gak teratur)</t>
        </is>
      </c>
      <c r="K35" s="13" t="inlineStr">
        <is>
          <t>Simpan &amp; share</t>
        </is>
      </c>
      <c r="L35" s="13" t="inlineStr">
        <is>
          <t>Awareness</t>
        </is>
      </c>
      <c r="M35" s="13" t="inlineStr">
        <is>
          <t>3 kebiasaan akhir tahun yang bikin badan 'ngedrop' di Januari — cek kebiasaanmu</t>
        </is>
      </c>
      <c r="N35" s="13" t="inlineStr">
        <is>
          <t>Template A. Judul '3 Kebiasaan Akhir Tahun yg Bikin Ngedrop' via highlight box, 3 poin per slide dgn box biru terpisah.</t>
        </is>
      </c>
      <c r="O35" s="13" t="inlineStr">
        <is>
          <t>12.00-13.00 (istirahat siang) atau 19.00-21.00 (malam santai) — butuh audiens yg gak buru-buru krn perlu swipe &amp; baca</t>
        </is>
      </c>
      <c r="P35" s="13" t="inlineStr">
        <is>
          <t>Selasa siang atau Minggu malam — butuh audiens yg punya waktu fokus baca/swipe</t>
        </is>
      </c>
      <c r="Q35" s="15" t="inlineStr">
        <is>
          <t>Draft jadi</t>
        </is>
      </c>
      <c r="R35" s="19" t="inlineStr">
        <is>
          <t>C15.pptx</t>
        </is>
      </c>
      <c r="S35" s="19" t="inlineStr">
        <is>
          <t>C15-kebiasaan-akhir-tahun</t>
        </is>
      </c>
      <c r="T35" s="15" t="inlineStr"/>
      <c r="U35" s="15" t="inlineStr">
        <is>
          <t>Aksen merah di 'Januari'. Tanpa klaim medis.</t>
        </is>
      </c>
      <c r="V35" s="15" t="inlineStr">
        <is>
          <t>3 kebiasaan akhir tahun yang bikin badan "ngedrop" di Januari — cek kebiasaanmu.
Begadang terus-terusan, kurang gerak selama libur, dan makan yang nggak teratur. Akhir tahun memang padat dan seru, tapi badan ikut menagih. Nggak perlu langsung berubah semua, pilih satu yang paling kamu banget.
Simpan &amp; cek kebiasaanmu 📌 dan kirim ke teman yang akhir tahunnya padat. Follow @shape.indonesia untuk obrolan wellness lainnya.
#ShapeIndonesia #LiveBetterLongerFitter #Health #AkhirTahun</t>
        </is>
      </c>
      <c r="W35" s="15" t="inlineStr"/>
      <c r="X35" s="16" t="n"/>
      <c r="Y35" s="16" t="n"/>
      <c r="Z35" s="16" t="n"/>
      <c r="AA35" s="16" t="n"/>
      <c r="AB35" s="16" t="n"/>
      <c r="AC35" s="17">
        <f>SUM(X35:AB35)</f>
        <v/>
      </c>
      <c r="AD35" s="18" t="inlineStr">
        <is>
          <t>C15</t>
        </is>
      </c>
    </row>
    <row r="36" ht="143" customHeight="1">
      <c r="A36" s="20" t="inlineStr">
        <is>
          <t>C16</t>
        </is>
      </c>
      <c r="B36" s="21" t="inlineStr">
        <is>
          <t>Desember</t>
        </is>
      </c>
      <c r="C36" s="21" t="inlineStr">
        <is>
          <t>Minggu 4</t>
        </is>
      </c>
      <c r="D36" s="21" t="inlineStr">
        <is>
          <t>Campaign</t>
        </is>
      </c>
      <c r="E36" s="22" t="inlineStr">
        <is>
          <t>B2B</t>
        </is>
      </c>
      <c r="F36" s="21" t="inlineStr">
        <is>
          <t>Sesi 7 - CLOSING</t>
        </is>
      </c>
      <c r="G36" s="21" t="inlineStr">
        <is>
          <t>Sampai Jumpa di 2027</t>
        </is>
      </c>
      <c r="H36" s="21" t="inlineStr">
        <is>
          <t>Instagram + LinkedIn</t>
        </is>
      </c>
      <c r="I36" s="21" t="inlineStr">
        <is>
          <t>Carousel + Story</t>
        </is>
      </c>
      <c r="J36" s="21" t="inlineStr">
        <is>
          <t>Closing campaign: rekap seluruh rangkaian Shape Expert Network 2026, ajakan early-bird booth Shape Indonesia Expo 2027, ucapan terima kasih ke seluruh partner &amp; audiens</t>
        </is>
      </c>
      <c r="K36" s="21" t="inlineStr">
        <is>
          <t>Cek info early-bird booth via DM/link bio</t>
        </is>
      </c>
      <c r="L36" s="21" t="inlineStr">
        <is>
          <t>Conversion (Lead ke Expo 2027)</t>
        </is>
      </c>
      <c r="M36" s="21" t="inlineStr">
        <is>
          <t>Rangkaian Shape Expert Network 2026 resmi ditutup — terima kasih sudah jadi bagian dari perjalanan ini. Sampai jumpa di Shape Indonesia Expo 2027, 8-10 Oktober, NICE PIK 2 🎉</t>
        </is>
      </c>
      <c r="N36" s="21" t="inlineStr">
        <is>
          <t>Template A, versi closing — timeline mini 6 sesi dlm highlight box berurutan, foto cuplikan momen tiap bulan (kolase asli dari dokumentasi event, bukan stock), slide akhir mockup venue NICE PIK 2 + tanggal dlm accent box merah.</t>
        </is>
      </c>
      <c r="O36" s="21" t="inlineStr">
        <is>
          <t>Carousel: 19.00-21.00 (momen reflektif/penutup). Story pendukung: 07.00-08.00 &amp; 12.00-13.00</t>
        </is>
      </c>
      <c r="P36" s="21" t="inlineStr">
        <is>
          <t>Selasa-Kamis — hindari Senin (masih beres2 kerjaan) &amp; Jumat/weekend (mode kerja sudah 'off')</t>
        </is>
      </c>
      <c r="Q36" s="15" t="inlineStr">
        <is>
          <t>Draft + menunggu aset/data</t>
        </is>
      </c>
      <c r="R36" s="19" t="inlineStr">
        <is>
          <t>C16.pptx</t>
        </is>
      </c>
      <c r="S36" s="19" t="inlineStr">
        <is>
          <t>C16-closing-sampai-jumpa-2027</t>
        </is>
      </c>
      <c r="T36" s="15" t="inlineStr"/>
      <c r="U36" s="15" t="inlineStr">
        <is>
          <t>Butuh kolase foto dokumentasi asli &amp; mockup/foto venue NICE PIK 2. Brief menyebut 'timeline 6 sesi' padahal Sesi 1-7: di PPTX dikelompokkan per bulan. Tanggal Expo 8-10 Okt 2027 (ikut plan; proposal sponsorship 5-7 Okt).</t>
        </is>
      </c>
      <c r="V36" s="15" t="inlineStr">
        <is>
          <t>Rangkaian Shape Expert Network 2026 resmi ditutup — terima kasih sudah jadi bagian dari perjalanan ini.
Dari Kickoff sampai Closing, terima kasih untuk semua yang hadir, bertanya, dan mendukung. Sampai jumpa di Shape Indonesia Expo 2027, 8-10 Oktober, NICE PIK 2 🎉
Untuk info early-bird booth, DM kami atau cek link di bio.
#ShapeIndonesia #ShapeIndonesiaExpo2027 #ShapeExpertNetwork #LiveBetterLongerFitter</t>
        </is>
      </c>
      <c r="W36" s="15" t="inlineStr"/>
      <c r="X36" s="16" t="n"/>
      <c r="Y36" s="16" t="n"/>
      <c r="Z36" s="16" t="n"/>
      <c r="AA36" s="16" t="n"/>
      <c r="AB36" s="16" t="n"/>
      <c r="AC36" s="17">
        <f>SUM(X36:AB36)</f>
        <v/>
      </c>
      <c r="AD36" s="18" t="inlineStr">
        <is>
          <t>C16</t>
        </is>
      </c>
    </row>
    <row r="37" ht="156" customHeight="1">
      <c r="A37" s="20" t="inlineStr">
        <is>
          <t>C17</t>
        </is>
      </c>
      <c r="B37" s="21" t="inlineStr">
        <is>
          <t>Desember</t>
        </is>
      </c>
      <c r="C37" s="21" t="inlineStr">
        <is>
          <t>Minggu 4</t>
        </is>
      </c>
      <c r="D37" s="21" t="inlineStr">
        <is>
          <t>Campaign</t>
        </is>
      </c>
      <c r="E37" s="22" t="inlineStr">
        <is>
          <t>B2B</t>
        </is>
      </c>
      <c r="F37" s="21" t="inlineStr">
        <is>
          <t>Founding Circle Spotlight</t>
        </is>
      </c>
      <c r="G37" s="21" t="inlineStr">
        <is>
          <t>Year-End Recap</t>
        </is>
      </c>
      <c r="H37" s="21" t="inlineStr">
        <is>
          <t>Instagram + LinkedIn</t>
        </is>
      </c>
      <c r="I37" s="21" t="inlineStr">
        <is>
          <t>Carousel</t>
        </is>
      </c>
      <c r="J37" s="21" t="inlineStr">
        <is>
          <t>Spotlight seluruh Founding Circle Partners (Fit4Go, PPYNI, Bisa Gerak, Lux Entertainment, Dreya Communications) sebagai penutup tahun</t>
        </is>
      </c>
      <c r="K37" s="21" t="inlineStr">
        <is>
          <t>Follow seluruh partner</t>
        </is>
      </c>
      <c r="L37" s="21" t="inlineStr">
        <is>
          <t>Interest</t>
        </is>
      </c>
      <c r="M37" s="21" t="inlineStr">
        <is>
          <t>Ekosistem wellness Indonesia dibangun bareng-bareng — terima kasih Founding Circle Partners atas kepercayaannya tahun ini.</t>
        </is>
      </c>
      <c r="N37" s="21" t="inlineStr">
        <is>
          <t>Template A, versi partner recap — grid 5 logo Founding Circle Partners rapi simetris di atas background gradient standar, highlight box ucapan terima kasih.</t>
        </is>
      </c>
      <c r="O37" s="21" t="inlineStr">
        <is>
          <t>12.00-13.00 (istirahat siang) atau 19.00-21.00 (malam santai) — butuh audiens yg gak buru-buru krn perlu swipe &amp; baca</t>
        </is>
      </c>
      <c r="P37" s="21" t="inlineStr">
        <is>
          <t>Selasa-Kamis — hindari Senin (masih beres2 kerjaan) &amp; Jumat/weekend (mode kerja sudah 'off')</t>
        </is>
      </c>
      <c r="Q37" s="15" t="inlineStr">
        <is>
          <t>Draft + menunggu aset/data</t>
        </is>
      </c>
      <c r="R37" s="19" t="inlineStr">
        <is>
          <t>C17.pptx</t>
        </is>
      </c>
      <c r="S37" s="19" t="inlineStr">
        <is>
          <t>C17-spotlight-founding-circle-recap</t>
        </is>
      </c>
      <c r="T37" s="15" t="inlineStr"/>
      <c r="U37" s="15" t="inlineStr">
        <is>
          <t>Butuh 5 logo &amp; handle IG partner. Sebaiknya beda hari dengan C16 (sama-sama Des W4).</t>
        </is>
      </c>
      <c r="V37" s="15" t="inlineStr">
        <is>
          <t>Ekosistem wellness Indonesia dibangun bareng-bareng — terima kasih Founding Circle Partners atas kepercayaannya tahun ini.
Fit4Go, PPYNI, Bisa Gerak, Lux Entertainment, dan Dreya Communications: terima kasih sudah membangun ekosistem ini bersama Shape. Follow akun mereka: [@handle_Fit4Go] [@handle_PPYNI] [@handle_BisaGerak] [@handle_LuxEntertainment] [@handle_Dreya]
Follow @shape.indonesia untuk kabar Shape Indonesia Expo 2027.
#ShapeIndonesia #FoundingCircle #ShapeExpertNetwork #LiveBetterLongerFitter</t>
        </is>
      </c>
      <c r="W37" s="15" t="inlineStr"/>
      <c r="X37" s="16" t="n"/>
      <c r="Y37" s="16" t="n"/>
      <c r="Z37" s="16" t="n"/>
      <c r="AA37" s="16" t="n"/>
      <c r="AB37" s="16" t="n"/>
      <c r="AC37" s="17">
        <f>SUM(X37:AB37)</f>
        <v/>
      </c>
      <c r="AD37" s="18" t="inlineStr">
        <is>
          <t>C17</t>
        </is>
      </c>
    </row>
  </sheetData>
  <autoFilter ref="A5:AD37"/>
  <mergeCells count="5">
    <mergeCell ref="D2:F2"/>
    <mergeCell ref="B2:C2"/>
    <mergeCell ref="Q4:T4"/>
    <mergeCell ref="U4:W4"/>
    <mergeCell ref="X4:AC4"/>
  </mergeCells>
  <dataValidations count="1">
    <dataValidation sqref="Q6:Q37" showDropDown="0" showInputMessage="0" showErrorMessage="0" allowBlank="1" type="list">
      <formula1>"Belum dikerjakan (di luar skill carousel),Referensi (belum PPTX),Draft jadi,Draft + menunggu aset/data,Siap posting,Sudah posted"</formula1>
    </dataValidation>
  </dataValidations>
  <hyperlinks>
    <hyperlink xmlns:r="http://schemas.openxmlformats.org/officeDocument/2006/relationships" ref="R7" r:id="rId1"/>
    <hyperlink xmlns:r="http://schemas.openxmlformats.org/officeDocument/2006/relationships" ref="S7" r:id="rId2"/>
    <hyperlink xmlns:r="http://schemas.openxmlformats.org/officeDocument/2006/relationships" ref="T7" r:id="rId3"/>
    <hyperlink xmlns:r="http://schemas.openxmlformats.org/officeDocument/2006/relationships" ref="R13" r:id="rId4"/>
    <hyperlink xmlns:r="http://schemas.openxmlformats.org/officeDocument/2006/relationships" ref="S13" r:id="rId5"/>
    <hyperlink xmlns:r="http://schemas.openxmlformats.org/officeDocument/2006/relationships" ref="R15" r:id="rId6"/>
    <hyperlink xmlns:r="http://schemas.openxmlformats.org/officeDocument/2006/relationships" ref="S15" r:id="rId7"/>
    <hyperlink xmlns:r="http://schemas.openxmlformats.org/officeDocument/2006/relationships" ref="R16" r:id="rId8"/>
    <hyperlink xmlns:r="http://schemas.openxmlformats.org/officeDocument/2006/relationships" ref="S16" r:id="rId9"/>
    <hyperlink xmlns:r="http://schemas.openxmlformats.org/officeDocument/2006/relationships" ref="R19" r:id="rId10"/>
    <hyperlink xmlns:r="http://schemas.openxmlformats.org/officeDocument/2006/relationships" ref="S19" r:id="rId11"/>
    <hyperlink xmlns:r="http://schemas.openxmlformats.org/officeDocument/2006/relationships" ref="R21" r:id="rId12"/>
    <hyperlink xmlns:r="http://schemas.openxmlformats.org/officeDocument/2006/relationships" ref="S21" r:id="rId13"/>
    <hyperlink xmlns:r="http://schemas.openxmlformats.org/officeDocument/2006/relationships" ref="R22" r:id="rId14"/>
    <hyperlink xmlns:r="http://schemas.openxmlformats.org/officeDocument/2006/relationships" ref="S22" r:id="rId15"/>
    <hyperlink xmlns:r="http://schemas.openxmlformats.org/officeDocument/2006/relationships" ref="R24" r:id="rId16"/>
    <hyperlink xmlns:r="http://schemas.openxmlformats.org/officeDocument/2006/relationships" ref="S24" r:id="rId17"/>
    <hyperlink xmlns:r="http://schemas.openxmlformats.org/officeDocument/2006/relationships" ref="R27" r:id="rId18"/>
    <hyperlink xmlns:r="http://schemas.openxmlformats.org/officeDocument/2006/relationships" ref="S27" r:id="rId19"/>
    <hyperlink xmlns:r="http://schemas.openxmlformats.org/officeDocument/2006/relationships" ref="R29" r:id="rId20"/>
    <hyperlink xmlns:r="http://schemas.openxmlformats.org/officeDocument/2006/relationships" ref="S29" r:id="rId21"/>
    <hyperlink xmlns:r="http://schemas.openxmlformats.org/officeDocument/2006/relationships" ref="R30" r:id="rId22"/>
    <hyperlink xmlns:r="http://schemas.openxmlformats.org/officeDocument/2006/relationships" ref="S30" r:id="rId23"/>
    <hyperlink xmlns:r="http://schemas.openxmlformats.org/officeDocument/2006/relationships" ref="R32" r:id="rId24"/>
    <hyperlink xmlns:r="http://schemas.openxmlformats.org/officeDocument/2006/relationships" ref="S32" r:id="rId25"/>
    <hyperlink xmlns:r="http://schemas.openxmlformats.org/officeDocument/2006/relationships" ref="R35" r:id="rId26"/>
    <hyperlink xmlns:r="http://schemas.openxmlformats.org/officeDocument/2006/relationships" ref="S35" r:id="rId27"/>
    <hyperlink xmlns:r="http://schemas.openxmlformats.org/officeDocument/2006/relationships" ref="R36" r:id="rId28"/>
    <hyperlink xmlns:r="http://schemas.openxmlformats.org/officeDocument/2006/relationships" ref="S36" r:id="rId29"/>
    <hyperlink xmlns:r="http://schemas.openxmlformats.org/officeDocument/2006/relationships" ref="R37" r:id="rId30"/>
    <hyperlink xmlns:r="http://schemas.openxmlformats.org/officeDocument/2006/relationships" ref="S37" r:id="rId31"/>
  </hyperlink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4" customWidth="1" min="1" max="1"/>
    <col width="12" customWidth="1" min="2" max="2"/>
  </cols>
  <sheetData>
    <row r="1">
      <c r="A1" s="34" t="inlineStr">
        <is>
          <t>Ringkasan produksi (otomatis dari sheet Kalender)</t>
        </is>
      </c>
    </row>
    <row r="3">
      <c r="A3" s="35" t="inlineStr">
        <is>
          <t>Status Produksi</t>
        </is>
      </c>
      <c r="B3" s="35" t="inlineStr">
        <is>
          <t>Jumlah</t>
        </is>
      </c>
    </row>
    <row r="4">
      <c r="A4" s="36" t="inlineStr">
        <is>
          <t>Belum dikerjakan (di luar skill carousel)</t>
        </is>
      </c>
      <c r="B4" s="36">
        <f>COUNTIF(Kalender!$Q$6:$Q$37,A4)</f>
        <v/>
      </c>
    </row>
    <row r="5">
      <c r="A5" s="36" t="inlineStr">
        <is>
          <t>Referensi (belum PPTX)</t>
        </is>
      </c>
      <c r="B5" s="36">
        <f>COUNTIF(Kalender!$Q$6:$Q$37,A5)</f>
        <v/>
      </c>
    </row>
    <row r="6">
      <c r="A6" s="36" t="inlineStr">
        <is>
          <t>Draft jadi</t>
        </is>
      </c>
      <c r="B6" s="36">
        <f>COUNTIF(Kalender!$Q$6:$Q$37,A6)</f>
        <v/>
      </c>
    </row>
    <row r="7">
      <c r="A7" s="36" t="inlineStr">
        <is>
          <t>Draft + menunggu aset/data</t>
        </is>
      </c>
      <c r="B7" s="36">
        <f>COUNTIF(Kalender!$Q$6:$Q$37,A7)</f>
        <v/>
      </c>
    </row>
    <row r="8">
      <c r="A8" s="36" t="inlineStr">
        <is>
          <t>Siap posting</t>
        </is>
      </c>
      <c r="B8" s="36">
        <f>COUNTIF(Kalender!$Q$6:$Q$37,A8)</f>
        <v/>
      </c>
    </row>
    <row r="9">
      <c r="A9" s="36" t="inlineStr">
        <is>
          <t>Sudah posted</t>
        </is>
      </c>
      <c r="B9" s="36">
        <f>COUNTIF(Kalender!$Q$6:$Q$37,A9)</f>
        <v/>
      </c>
    </row>
    <row r="10">
      <c r="A10" s="2" t="inlineStr">
        <is>
          <t>Total konten</t>
        </is>
      </c>
      <c r="B10" s="2">
        <f>COUNTA(Kalender!$A$6:$A$37)</f>
        <v/>
      </c>
    </row>
    <row r="11">
      <c r="A11" s="2" t="n"/>
      <c r="B11" s="2" t="n"/>
    </row>
    <row r="12">
      <c r="A12" s="35" t="inlineStr">
        <is>
          <t>Per tipe</t>
        </is>
      </c>
      <c r="B12" s="35" t="inlineStr">
        <is>
          <t>Jumlah</t>
        </is>
      </c>
    </row>
    <row r="13">
      <c r="A13" s="36" t="inlineStr">
        <is>
          <t>Regular</t>
        </is>
      </c>
      <c r="B13" s="36">
        <f>COUNTIF(Kalender!$D$6:$D$37,"Regular")</f>
        <v/>
      </c>
    </row>
    <row r="14">
      <c r="A14" s="36" t="inlineStr">
        <is>
          <t>Campaign</t>
        </is>
      </c>
      <c r="B14" s="36">
        <f>COUNTIF(Kalender!$D$6:$D$37,"Campaign")</f>
        <v/>
      </c>
    </row>
    <row r="15">
      <c r="A15" s="36" t="inlineStr">
        <is>
          <t>Carousel (C)</t>
        </is>
      </c>
      <c r="B15" s="36">
        <f>COUNTIF(Kalender!$A$6:$A$37,"C*")</f>
        <v/>
      </c>
    </row>
    <row r="16">
      <c r="A16" s="36" t="inlineStr">
        <is>
          <t>Reels/Story (R)</t>
        </is>
      </c>
      <c r="B16" s="36">
        <f>COUNTIF(Kalender!$A$6:$A$37,"R*")</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20" customWidth="1" min="1" max="1"/>
  </cols>
  <sheetData>
    <row r="1" ht="16" customHeight="1">
      <c r="A1" s="37" t="inlineStr">
        <is>
          <t>Catatan perubahan dan cara pakai</t>
        </is>
      </c>
    </row>
    <row r="2" ht="16" customHeight="1">
      <c r="A2" s="38" t="inlineStr"/>
    </row>
    <row r="3" ht="16" customHeight="1">
      <c r="A3" s="39" t="inlineStr">
        <is>
          <t>Yang dirapikan</t>
        </is>
      </c>
    </row>
    <row r="4" ht="42" customHeight="1">
      <c r="A4" s="38" t="inlineStr">
        <is>
          <t>1. Id Content dipindah ke kolom pertama dan diberi skema konsisten: Carousel = C01-C17, Reels/Story = R01-R15, urut sesuai kalender. Id lama berisi duplikat (C01 s/d C07 muncul dua kali, mulai Okt W3) dan banyak baris kosong; semuanya disimpan di kolom paling kanan 'Id Lama' agar bisa ditelusuri.</t>
        </is>
      </c>
    </row>
    <row r="5" ht="28" customHeight="1">
      <c r="A5" s="38" t="inlineStr">
        <is>
          <t>2. 'Vanity Matrics' dibetulkan jadi 'Vanity Metrics'. Ditambah kolom 'Total Engagement' (rumus jumlah Like+Comment+Share+Save+Repost).</t>
        </is>
      </c>
    </row>
    <row r="6" ht="28" customHeight="1">
      <c r="A6" s="38" t="inlineStr">
        <is>
          <t>3. Tanda kutip nyasar di awal kolom Draft Caption/Hook (artefak awalan apostrof Excel, mis. "Buka HP niatnya...") diganti kutip lengkung. Isi kalimat tidak diubah.</t>
        </is>
      </c>
    </row>
    <row r="7" ht="28" customHeight="1">
      <c r="A7" s="38" t="inlineStr">
        <is>
          <t>4. Di baris Nov W4 Recap, rujukan 'layout recap row 12' diganti 'layout recap C04' karena nomor baris sudah tidak berlaku.</t>
        </is>
      </c>
    </row>
    <row r="8" ht="28" customHeight="1">
      <c r="A8" s="38" t="inlineStr">
        <is>
          <t>5. Warna: hijau = Regular, kuning = Campaign; kolom Segmen biru = B2B, oranye = B2C. Baris dipisah garis tebal per bulan. Header, filter, dan freeze panes dipasang.</t>
        </is>
      </c>
    </row>
    <row r="9" ht="28" customHeight="1">
      <c r="A9" s="38" t="inlineStr">
        <is>
          <t>6. Kolom baru: Status Produksi (dropdown), File PPTX (repo), Folder Carousel (repo). Note / Revisi diisi pertanyaan terbuka tiap carousel. Caption (siap copas) diisi dari caption.txt tiap carousel.</t>
        </is>
      </c>
    </row>
    <row r="10" ht="16" customHeight="1">
      <c r="A10" s="38" t="inlineStr"/>
    </row>
    <row r="11" ht="16" customHeight="1">
      <c r="A11" s="39" t="inlineStr">
        <is>
          <t>Link repo</t>
        </is>
      </c>
    </row>
    <row r="12" ht="42" customHeight="1">
      <c r="A12" s="38" t="inlineStr">
        <is>
          <t>Tautan memakai branch kerja: https://github.com/aljihadjundy-oss/jundy-aljihad/tree/claude/hopeful-thompson-czlqva. Kalau branch di-merge ke main lalu dihapus, tautan putus. Cara memperbaiki: Find &amp; Replace '/claude/hopeful-thompson-czlqva/' dengan '/main/' di kolom File PPTX dan Folder Carousel.</t>
        </is>
      </c>
    </row>
    <row r="13" ht="16" customHeight="1">
      <c r="A13" s="38" t="inlineStr">
        <is>
          <t>Repo bersifat privat/terbatas: tautan hanya terbuka untuk akun yang punya akses.</t>
        </is>
      </c>
    </row>
    <row r="14" ht="16" customHeight="1">
      <c r="A14" s="38" t="inlineStr"/>
    </row>
    <row r="15" ht="16" customHeight="1">
      <c r="A15" s="39" t="inlineStr">
        <is>
          <t>Belum ada file di repo</t>
        </is>
      </c>
    </row>
    <row r="16" ht="28" customHeight="1">
      <c r="A16" s="38" t="inlineStr">
        <is>
          <t>C02 (detox) dan C03 (launch Expert Network): referensi visual dari user, belum dibuat ulang sebagai PPTX. Semua Reels/Story (R01-R15) di luar skill carousel.</t>
        </is>
      </c>
    </row>
    <row r="17" ht="16" customHeight="1">
      <c r="A17" s="38" t="inlineStr"/>
    </row>
    <row r="18" ht="16" customHeight="1">
      <c r="A18" s="39" t="inlineStr">
        <is>
          <t>Ketidakkonsistenan data sumber yang ditemukan (belum diubah)</t>
        </is>
      </c>
    </row>
    <row r="19" ht="28" customHeight="1">
      <c r="A19" s="38" t="inlineStr">
        <is>
          <t>- C16: brief menyebut 'timeline mini 6 sesi', sedangkan penomoran sesi sampai Sesi 7. Di PPTX dikelompokkan per bulan.</t>
        </is>
      </c>
    </row>
    <row r="20" ht="28" customHeight="1">
      <c r="A20" s="38" t="inlineStr">
        <is>
          <t>- Tanggal Expo: content plan 8-10 Okt 2027, proposal sponsorship 5-7 Okt 2027. Mengikuti content plan atas keputusan user.</t>
        </is>
      </c>
    </row>
    <row r="21" ht="28" customHeight="1">
      <c r="A21" s="38" t="inlineStr">
        <is>
          <t>- Beberapa posisi jam/hari posting bertabrakan di minggu yang sama (mis. C16 dan C17 sama-sama Des W4): pertimbangkan beda hari.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2026-10-09T08:42:28Z</dcterms:created>
  <dcterms:modified xmlns:dcterms="http://purl.org/dc/terms/" xmlns:xsi="http://www.w3.org/2001/XMLSchema-instance" xsi:type="dcterms:W3CDTF">2026-10-09T08:42:28Z</dcterms:modified>
</cp:coreProperties>
</file>